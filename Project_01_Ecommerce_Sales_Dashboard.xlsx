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bb74152e040b635/Desktop/Data Analytics/Projects/Project 1 Ecommerce Sales Analysis/"/>
    </mc:Choice>
  </mc:AlternateContent>
  <xr:revisionPtr revIDLastSave="3" documentId="8_{741F4DCD-C023-4D9F-904E-860F2831BD0C}" xr6:coauthVersionLast="47" xr6:coauthVersionMax="47" xr10:uidLastSave="{AB9F0598-ACBC-47F0-9342-49E0899369C1}"/>
  <bookViews>
    <workbookView xWindow="-108" yWindow="-108" windowWidth="23256" windowHeight="12456" xr2:uid="{00000000-000D-0000-FFFF-FFFF00000000}"/>
  </bookViews>
  <sheets>
    <sheet name="Executive Dashboard" sheetId="10" r:id="rId1"/>
    <sheet name="Project_Brief" sheetId="2" r:id="rId2"/>
    <sheet name="Pivot_Product" sheetId="9" state="hidden" r:id="rId3"/>
    <sheet name="Pivot_Country" sheetId="7" state="hidden" r:id="rId4"/>
    <sheet name="Pivot _Category" sheetId="5" state="hidden" r:id="rId5"/>
    <sheet name="Pivot_Monthly" sheetId="8" state="hidden" r:id="rId6"/>
    <sheet name="Clean_Data" sheetId="3" state="hidden" r:id="rId7"/>
    <sheet name="KPI_Summary" sheetId="4" state="hidden" r:id="rId8"/>
    <sheet name="Raw_Data" sheetId="1" state="hidden" r:id="rId9"/>
  </sheets>
  <definedNames>
    <definedName name="_xlnm._FilterDatabase" localSheetId="6" hidden="1">Clean_Data!$A$1:$R$559</definedName>
    <definedName name="_xlnm._FilterDatabase" localSheetId="8" hidden="1">Raw_Data!$A$1:$M$559</definedName>
  </definedNames>
  <calcPr calcId="191029"/>
  <pivotCaches>
    <pivotCache cacheId="0" r:id="rId10"/>
  </pivotCaches>
</workbook>
</file>

<file path=xl/calcChain.xml><?xml version="1.0" encoding="utf-8"?>
<calcChain xmlns="http://schemas.openxmlformats.org/spreadsheetml/2006/main">
  <c r="D3" i="3" l="1"/>
  <c r="A5" i="10"/>
  <c r="D9" i="10"/>
  <c r="A9" i="10"/>
  <c r="J5" i="10"/>
  <c r="G5" i="10"/>
  <c r="D5" i="10"/>
  <c r="D5" i="9"/>
  <c r="D6" i="9"/>
  <c r="D7" i="9"/>
  <c r="D8" i="9"/>
  <c r="D9" i="9"/>
  <c r="D10" i="9"/>
  <c r="D11" i="9"/>
  <c r="D12" i="9"/>
  <c r="D13" i="9"/>
  <c r="D14" i="9"/>
  <c r="D15" i="9"/>
  <c r="D16" i="9"/>
  <c r="D4" i="9"/>
  <c r="B29" i="2"/>
  <c r="B7" i="4"/>
  <c r="B6" i="4"/>
  <c r="B5" i="4"/>
  <c r="B4" i="4"/>
  <c r="B3" i="4"/>
  <c r="B2" i="4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V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T2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2" i="3"/>
  <c r="N3" i="3"/>
  <c r="N5" i="3"/>
  <c r="N6" i="3"/>
  <c r="N7" i="3"/>
  <c r="N8" i="3"/>
  <c r="N9" i="3"/>
  <c r="N12" i="3"/>
  <c r="N14" i="3"/>
  <c r="N15" i="3"/>
  <c r="N16" i="3"/>
  <c r="N17" i="3"/>
  <c r="N18" i="3"/>
  <c r="N20" i="3"/>
  <c r="N21" i="3"/>
  <c r="N22" i="3"/>
  <c r="N24" i="3"/>
  <c r="N27" i="3"/>
  <c r="N28" i="3"/>
  <c r="N29" i="3"/>
  <c r="N30" i="3"/>
  <c r="N31" i="3"/>
  <c r="N34" i="3"/>
  <c r="N35" i="3"/>
  <c r="N41" i="3"/>
  <c r="N44" i="3"/>
  <c r="N45" i="3"/>
  <c r="N46" i="3"/>
  <c r="N47" i="3"/>
  <c r="N48" i="3"/>
  <c r="N49" i="3"/>
  <c r="N50" i="3"/>
  <c r="N52" i="3"/>
  <c r="N53" i="3"/>
  <c r="N54" i="3"/>
  <c r="N55" i="3"/>
  <c r="N56" i="3"/>
  <c r="N57" i="3"/>
  <c r="N58" i="3"/>
  <c r="N60" i="3"/>
  <c r="N61" i="3"/>
  <c r="N62" i="3"/>
  <c r="N63" i="3"/>
  <c r="N64" i="3"/>
  <c r="N66" i="3"/>
  <c r="N67" i="3"/>
  <c r="N69" i="3"/>
  <c r="N70" i="3"/>
  <c r="N71" i="3"/>
  <c r="N73" i="3"/>
  <c r="N74" i="3"/>
  <c r="N75" i="3"/>
  <c r="N76" i="3"/>
  <c r="N79" i="3"/>
  <c r="N80" i="3"/>
  <c r="N82" i="3"/>
  <c r="N85" i="3"/>
  <c r="N86" i="3"/>
  <c r="N87" i="3"/>
  <c r="N88" i="3"/>
  <c r="N90" i="3"/>
  <c r="N91" i="3"/>
  <c r="N92" i="3"/>
  <c r="N93" i="3"/>
  <c r="N94" i="3"/>
  <c r="N96" i="3"/>
  <c r="N97" i="3"/>
  <c r="N99" i="3"/>
  <c r="N100" i="3"/>
  <c r="N101" i="3"/>
  <c r="N103" i="3"/>
  <c r="N105" i="3"/>
  <c r="N106" i="3"/>
  <c r="N108" i="3"/>
  <c r="N110" i="3"/>
  <c r="N112" i="3"/>
  <c r="N113" i="3"/>
  <c r="N114" i="3"/>
  <c r="N116" i="3"/>
  <c r="N117" i="3"/>
  <c r="N118" i="3"/>
  <c r="N119" i="3"/>
  <c r="N120" i="3"/>
  <c r="N121" i="3"/>
  <c r="N122" i="3"/>
  <c r="N123" i="3"/>
  <c r="N124" i="3"/>
  <c r="N125" i="3"/>
  <c r="N127" i="3"/>
  <c r="N128" i="3"/>
  <c r="N129" i="3"/>
  <c r="N130" i="3"/>
  <c r="N131" i="3"/>
  <c r="N132" i="3"/>
  <c r="N133" i="3"/>
  <c r="N134" i="3"/>
  <c r="N135" i="3"/>
  <c r="N136" i="3"/>
  <c r="N138" i="3"/>
  <c r="N139" i="3"/>
  <c r="N141" i="3"/>
  <c r="N142" i="3"/>
  <c r="N143" i="3"/>
  <c r="N144" i="3"/>
  <c r="N147" i="3"/>
  <c r="N148" i="3"/>
  <c r="N149" i="3"/>
  <c r="N151" i="3"/>
  <c r="N153" i="3"/>
  <c r="N155" i="3"/>
  <c r="N156" i="3"/>
  <c r="N157" i="3"/>
  <c r="N158" i="3"/>
  <c r="N159" i="3"/>
  <c r="N160" i="3"/>
  <c r="N162" i="3"/>
  <c r="N163" i="3"/>
  <c r="N164" i="3"/>
  <c r="N169" i="3"/>
  <c r="N170" i="3"/>
  <c r="N171" i="3"/>
  <c r="N173" i="3"/>
  <c r="N174" i="3"/>
  <c r="N175" i="3"/>
  <c r="N176" i="3"/>
  <c r="N180" i="3"/>
  <c r="N182" i="3"/>
  <c r="N183" i="3"/>
  <c r="N184" i="3"/>
  <c r="N186" i="3"/>
  <c r="N187" i="3"/>
  <c r="N189" i="3"/>
  <c r="N190" i="3"/>
  <c r="N192" i="3"/>
  <c r="N194" i="3"/>
  <c r="N196" i="3"/>
  <c r="N197" i="3"/>
  <c r="N198" i="3"/>
  <c r="N199" i="3"/>
  <c r="N201" i="3"/>
  <c r="N203" i="3"/>
  <c r="N205" i="3"/>
  <c r="N208" i="3"/>
  <c r="N209" i="3"/>
  <c r="N210" i="3"/>
  <c r="N211" i="3"/>
  <c r="N212" i="3"/>
  <c r="N214" i="3"/>
  <c r="N215" i="3"/>
  <c r="N216" i="3"/>
  <c r="N217" i="3"/>
  <c r="N218" i="3"/>
  <c r="N219" i="3"/>
  <c r="N221" i="3"/>
  <c r="N222" i="3"/>
  <c r="N223" i="3"/>
  <c r="N225" i="3"/>
  <c r="N226" i="3"/>
  <c r="N228" i="3"/>
  <c r="N229" i="3"/>
  <c r="N230" i="3"/>
  <c r="N231" i="3"/>
  <c r="N232" i="3"/>
  <c r="N233" i="3"/>
  <c r="N235" i="3"/>
  <c r="N237" i="3"/>
  <c r="N238" i="3"/>
  <c r="N239" i="3"/>
  <c r="N240" i="3"/>
  <c r="N242" i="3"/>
  <c r="N243" i="3"/>
  <c r="N244" i="3"/>
  <c r="N245" i="3"/>
  <c r="N246" i="3"/>
  <c r="N247" i="3"/>
  <c r="N251" i="3"/>
  <c r="N252" i="3"/>
  <c r="N254" i="3"/>
  <c r="N255" i="3"/>
  <c r="N257" i="3"/>
  <c r="N258" i="3"/>
  <c r="N259" i="3"/>
  <c r="N261" i="3"/>
  <c r="N263" i="3"/>
  <c r="N264" i="3"/>
  <c r="N265" i="3"/>
  <c r="N266" i="3"/>
  <c r="N267" i="3"/>
  <c r="N268" i="3"/>
  <c r="N269" i="3"/>
  <c r="N270" i="3"/>
  <c r="N273" i="3"/>
  <c r="N274" i="3"/>
  <c r="N275" i="3"/>
  <c r="N278" i="3"/>
  <c r="N279" i="3"/>
  <c r="N281" i="3"/>
  <c r="N282" i="3"/>
  <c r="N283" i="3"/>
  <c r="N284" i="3"/>
  <c r="N286" i="3"/>
  <c r="N287" i="3"/>
  <c r="N288" i="3"/>
  <c r="N290" i="3"/>
  <c r="N291" i="3"/>
  <c r="N292" i="3"/>
  <c r="N293" i="3"/>
  <c r="N296" i="3"/>
  <c r="N298" i="3"/>
  <c r="N299" i="3"/>
  <c r="N303" i="3"/>
  <c r="N304" i="3"/>
  <c r="N305" i="3"/>
  <c r="N306" i="3"/>
  <c r="N307" i="3"/>
  <c r="N308" i="3"/>
  <c r="N309" i="3"/>
  <c r="N310" i="3"/>
  <c r="N312" i="3"/>
  <c r="N313" i="3"/>
  <c r="N314" i="3"/>
  <c r="N315" i="3"/>
  <c r="N316" i="3"/>
  <c r="N317" i="3"/>
  <c r="N318" i="3"/>
  <c r="N322" i="3"/>
  <c r="N323" i="3"/>
  <c r="N324" i="3"/>
  <c r="N325" i="3"/>
  <c r="N326" i="3"/>
  <c r="N327" i="3"/>
  <c r="N330" i="3"/>
  <c r="N333" i="3"/>
  <c r="N334" i="3"/>
  <c r="N335" i="3"/>
  <c r="N336" i="3"/>
  <c r="N338" i="3"/>
  <c r="N340" i="3"/>
  <c r="N341" i="3"/>
  <c r="N342" i="3"/>
  <c r="N343" i="3"/>
  <c r="N346" i="3"/>
  <c r="N347" i="3"/>
  <c r="N348" i="3"/>
  <c r="N349" i="3"/>
  <c r="N351" i="3"/>
  <c r="N352" i="3"/>
  <c r="N354" i="3"/>
  <c r="N357" i="3"/>
  <c r="N358" i="3"/>
  <c r="N359" i="3"/>
  <c r="N361" i="3"/>
  <c r="N362" i="3"/>
  <c r="N363" i="3"/>
  <c r="N364" i="3"/>
  <c r="N365" i="3"/>
  <c r="N369" i="3"/>
  <c r="N370" i="3"/>
  <c r="N372" i="3"/>
  <c r="N373" i="3"/>
  <c r="N374" i="3"/>
  <c r="N375" i="3"/>
  <c r="N377" i="3"/>
  <c r="N380" i="3"/>
  <c r="N382" i="3"/>
  <c r="N383" i="3"/>
  <c r="N386" i="3"/>
  <c r="N387" i="3"/>
  <c r="N388" i="3"/>
  <c r="N391" i="3"/>
  <c r="N392" i="3"/>
  <c r="N393" i="3"/>
  <c r="N394" i="3"/>
  <c r="N396" i="3"/>
  <c r="N397" i="3"/>
  <c r="N398" i="3"/>
  <c r="N400" i="3"/>
  <c r="N401" i="3"/>
  <c r="N402" i="3"/>
  <c r="N403" i="3"/>
  <c r="N404" i="3"/>
  <c r="N406" i="3"/>
  <c r="N410" i="3"/>
  <c r="N411" i="3"/>
  <c r="N412" i="3"/>
  <c r="N414" i="3"/>
  <c r="N415" i="3"/>
  <c r="N419" i="3"/>
  <c r="N421" i="3"/>
  <c r="N423" i="3"/>
  <c r="N424" i="3"/>
  <c r="N426" i="3"/>
  <c r="N427" i="3"/>
  <c r="N428" i="3"/>
  <c r="N430" i="3"/>
  <c r="N431" i="3"/>
  <c r="N432" i="3"/>
  <c r="N434" i="3"/>
  <c r="N436" i="3"/>
  <c r="N437" i="3"/>
  <c r="N439" i="3"/>
  <c r="N441" i="3"/>
  <c r="N442" i="3"/>
  <c r="N443" i="3"/>
  <c r="N447" i="3"/>
  <c r="N448" i="3"/>
  <c r="N450" i="3"/>
  <c r="N451" i="3"/>
  <c r="N455" i="3"/>
  <c r="N456" i="3"/>
  <c r="N460" i="3"/>
  <c r="N461" i="3"/>
  <c r="N463" i="3"/>
  <c r="N464" i="3"/>
  <c r="N465" i="3"/>
  <c r="N466" i="3"/>
  <c r="N469" i="3"/>
  <c r="N470" i="3"/>
  <c r="N471" i="3"/>
  <c r="N473" i="3"/>
  <c r="N474" i="3"/>
  <c r="N476" i="3"/>
  <c r="N477" i="3"/>
  <c r="N478" i="3"/>
  <c r="N479" i="3"/>
  <c r="N480" i="3"/>
  <c r="N483" i="3"/>
  <c r="N487" i="3"/>
  <c r="N488" i="3"/>
  <c r="N489" i="3"/>
  <c r="N491" i="3"/>
  <c r="N492" i="3"/>
  <c r="N494" i="3"/>
  <c r="N496" i="3"/>
  <c r="N497" i="3"/>
  <c r="N499" i="3"/>
  <c r="N500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7" i="3"/>
  <c r="N519" i="3"/>
  <c r="N520" i="3"/>
  <c r="N521" i="3"/>
  <c r="N522" i="3"/>
  <c r="N523" i="3"/>
  <c r="N524" i="3"/>
  <c r="N526" i="3"/>
  <c r="N527" i="3"/>
  <c r="N530" i="3"/>
  <c r="N532" i="3"/>
  <c r="N533" i="3"/>
  <c r="N534" i="3"/>
  <c r="N535" i="3"/>
  <c r="N537" i="3"/>
  <c r="N540" i="3"/>
  <c r="N543" i="3"/>
  <c r="N544" i="3"/>
  <c r="N548" i="3"/>
  <c r="N549" i="3"/>
  <c r="N550" i="3"/>
  <c r="N551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2" i="3"/>
</calcChain>
</file>

<file path=xl/sharedStrings.xml><?xml version="1.0" encoding="utf-8"?>
<sst xmlns="http://schemas.openxmlformats.org/spreadsheetml/2006/main" count="9185" uniqueCount="779">
  <si>
    <t>Order_ID</t>
  </si>
  <si>
    <t>Order_Date</t>
  </si>
  <si>
    <t>Customer_Name</t>
  </si>
  <si>
    <t>Country</t>
  </si>
  <si>
    <t>Product</t>
  </si>
  <si>
    <t>Category</t>
  </si>
  <si>
    <t>Quantity</t>
  </si>
  <si>
    <t>Unit_Price_USD</t>
  </si>
  <si>
    <t>Unit_Cost_USD</t>
  </si>
  <si>
    <t>Discount</t>
  </si>
  <si>
    <t>Payment_Method</t>
  </si>
  <si>
    <t>Order_Status</t>
  </si>
  <si>
    <t>Customer_Email</t>
  </si>
  <si>
    <t>ORD-10087</t>
  </si>
  <si>
    <t>ORD-10007</t>
  </si>
  <si>
    <t>ORD-10143</t>
  </si>
  <si>
    <t>ORD-10127</t>
  </si>
  <si>
    <t>ORD-10470</t>
  </si>
  <si>
    <t>ORD-10279</t>
  </si>
  <si>
    <t>ORD-10463</t>
  </si>
  <si>
    <t>ORD-10041</t>
  </si>
  <si>
    <t>ORD-10207</t>
  </si>
  <si>
    <t>ORD-10011</t>
  </si>
  <si>
    <t>ORD-10049</t>
  </si>
  <si>
    <t>ORD-10215</t>
  </si>
  <si>
    <t>ORD-10333</t>
  </si>
  <si>
    <t>ORD-10531</t>
  </si>
  <si>
    <t>ORD-10341</t>
  </si>
  <si>
    <t>ORD-10054</t>
  </si>
  <si>
    <t>ORD-10065</t>
  </si>
  <si>
    <t>ORD-10072</t>
  </si>
  <si>
    <t>ORD-10033</t>
  </si>
  <si>
    <t>ORD-10264</t>
  </si>
  <si>
    <t>ORD-10210</t>
  </si>
  <si>
    <t>ORD-10274</t>
  </si>
  <si>
    <t>ORD-10004</t>
  </si>
  <si>
    <t>ORD-10200</t>
  </si>
  <si>
    <t>ORD-10191</t>
  </si>
  <si>
    <t>ORD-10266</t>
  </si>
  <si>
    <t>ORD-10280</t>
  </si>
  <si>
    <t>ORD-10209</t>
  </si>
  <si>
    <t>ORD-10028</t>
  </si>
  <si>
    <t>ORD-10211</t>
  </si>
  <si>
    <t>ORD-10372</t>
  </si>
  <si>
    <t>ORD-10306</t>
  </si>
  <si>
    <t>ORD-10444</t>
  </si>
  <si>
    <t>ORD-10201</t>
  </si>
  <si>
    <t>ORD-10223</t>
  </si>
  <si>
    <t>ORD-10379</t>
  </si>
  <si>
    <t>ORD-10141</t>
  </si>
  <si>
    <t>ORD-10149</t>
  </si>
  <si>
    <t>ORD-10546</t>
  </si>
  <si>
    <t>ORD-10272</t>
  </si>
  <si>
    <t>ORD-10535</t>
  </si>
  <si>
    <t>ORD-10164</t>
  </si>
  <si>
    <t>ORD-10236</t>
  </si>
  <si>
    <t>ORD-10145</t>
  </si>
  <si>
    <t>ORD-10175</t>
  </si>
  <si>
    <t>ORD-10031</t>
  </si>
  <si>
    <t>ORD-10400</t>
  </si>
  <si>
    <t>ORD-10104</t>
  </si>
  <si>
    <t>ORD-10435</t>
  </si>
  <si>
    <t>ORD-10262</t>
  </si>
  <si>
    <t>ORD-10050</t>
  </si>
  <si>
    <t>ORD-10112</t>
  </si>
  <si>
    <t>ORD-10467</t>
  </si>
  <si>
    <t>ORD-10137</t>
  </si>
  <si>
    <t>ORD-10283</t>
  </si>
  <si>
    <t>ORD-10516</t>
  </si>
  <si>
    <t>ORD-10349</t>
  </si>
  <si>
    <t>ORD-10404</t>
  </si>
  <si>
    <t>ORD-10347</t>
  </si>
  <si>
    <t>ORD-10167</t>
  </si>
  <si>
    <t>ORD-10277</t>
  </si>
  <si>
    <t>ORD-10003</t>
  </si>
  <si>
    <t>ORD-10103</t>
  </si>
  <si>
    <t>ORD-10248</t>
  </si>
  <si>
    <t>ORD-10156</t>
  </si>
  <si>
    <t>ORD-10434</t>
  </si>
  <si>
    <t>ORD-10047</t>
  </si>
  <si>
    <t>ORD-10263</t>
  </si>
  <si>
    <t>ORD-10133</t>
  </si>
  <si>
    <t>ORD-10492</t>
  </si>
  <si>
    <t>ORD-10352</t>
  </si>
  <si>
    <t>ORD-10142</t>
  </si>
  <si>
    <t>ORD-10212</t>
  </si>
  <si>
    <t>ORD-10114</t>
  </si>
  <si>
    <t>ORD-10018</t>
  </si>
  <si>
    <t>ORD-10196</t>
  </si>
  <si>
    <t>ORD-10168</t>
  </si>
  <si>
    <t>ORD-10307</t>
  </si>
  <si>
    <t>ORD-10153</t>
  </si>
  <si>
    <t>ORD-10378</t>
  </si>
  <si>
    <t>ORD-10532</t>
  </si>
  <si>
    <t>ORD-10363</t>
  </si>
  <si>
    <t>ORD-10119</t>
  </si>
  <si>
    <t>ORD-10317</t>
  </si>
  <si>
    <t>ORD-10504</t>
  </si>
  <si>
    <t>ORD-10397</t>
  </si>
  <si>
    <t>ORD-10051</t>
  </si>
  <si>
    <t>ORD-10374</t>
  </si>
  <si>
    <t>ORD-10513</t>
  </si>
  <si>
    <t>ORD-10045</t>
  </si>
  <si>
    <t>ORD-10360</t>
  </si>
  <si>
    <t>ORD-10181</t>
  </si>
  <si>
    <t>ORD-10309</t>
  </si>
  <si>
    <t>ORD-10178</t>
  </si>
  <si>
    <t>ORD-10008</t>
  </si>
  <si>
    <t>ORD-10293</t>
  </si>
  <si>
    <t>ORD-10539</t>
  </si>
  <si>
    <t>ORD-10301</t>
  </si>
  <si>
    <t>ORD-10334</t>
  </si>
  <si>
    <t>ORD-10517</t>
  </si>
  <si>
    <t>ORD-10189</t>
  </si>
  <si>
    <t>ORD-10361</t>
  </si>
  <si>
    <t>ORD-10473</t>
  </si>
  <si>
    <t>ORD-10521</t>
  </si>
  <si>
    <t>ORD-10172</t>
  </si>
  <si>
    <t>ORD-10187</t>
  </si>
  <si>
    <t>ORD-10462</t>
  </si>
  <si>
    <t>ORD-10044</t>
  </si>
  <si>
    <t>ORD-10116</t>
  </si>
  <si>
    <t>ORD-10390</t>
  </si>
  <si>
    <t>ORD-10500</t>
  </si>
  <si>
    <t>ORD-10101</t>
  </si>
  <si>
    <t>ORD-10221</t>
  </si>
  <si>
    <t>ORD-10332</t>
  </si>
  <si>
    <t>ORD-10176</t>
  </si>
  <si>
    <t>ORD-10179</t>
  </si>
  <si>
    <t>ORD-10281</t>
  </si>
  <si>
    <t>ORD-10290</t>
  </si>
  <si>
    <t>ORD-10393</t>
  </si>
  <si>
    <t>ORD-10536</t>
  </si>
  <si>
    <t>ORD-10542</t>
  </si>
  <si>
    <t>ORD-10501</t>
  </si>
  <si>
    <t>ORD-10126</t>
  </si>
  <si>
    <t>ORD-10217</t>
  </si>
  <si>
    <t>ORD-10203</t>
  </si>
  <si>
    <t>ORD-10407</t>
  </si>
  <si>
    <t>ORD-10486</t>
  </si>
  <si>
    <t>ORD-10480</t>
  </si>
  <si>
    <t>ORD-10410</t>
  </si>
  <si>
    <t>ORD-10052</t>
  </si>
  <si>
    <t>ORD-10518</t>
  </si>
  <si>
    <t>ORD-10466</t>
  </si>
  <si>
    <t>ORD-10383</t>
  </si>
  <si>
    <t>ORD-10174</t>
  </si>
  <si>
    <t>ORD-10058</t>
  </si>
  <si>
    <t>ORD-10163</t>
  </si>
  <si>
    <t>ORD-10218</t>
  </si>
  <si>
    <t>ORD-10413</t>
  </si>
  <si>
    <t>ORD-10094</t>
  </si>
  <si>
    <t>ORD-10100</t>
  </si>
  <si>
    <t>ORD-10292</t>
  </si>
  <si>
    <t>ORD-10323</t>
  </si>
  <si>
    <t>ORD-10320</t>
  </si>
  <si>
    <t>ORD-10085</t>
  </si>
  <si>
    <t>ORD-10304</t>
  </si>
  <si>
    <t>ORD-10092</t>
  </si>
  <si>
    <t>ORD-10029</t>
  </si>
  <si>
    <t>ORD-10073</t>
  </si>
  <si>
    <t>ORD-10440</t>
  </si>
  <si>
    <t>ORD-10544</t>
  </si>
  <si>
    <t>ORD-10192</t>
  </si>
  <si>
    <t>ORD-10155</t>
  </si>
  <si>
    <t>ORD-10313</t>
  </si>
  <si>
    <t>ORD-10296</t>
  </si>
  <si>
    <t>ORD-10441</t>
  </si>
  <si>
    <t>ORD-10250</t>
  </si>
  <si>
    <t>ORD-10259</t>
  </si>
  <si>
    <t>ORD-10406</t>
  </si>
  <si>
    <t>ORD-10319</t>
  </si>
  <si>
    <t>ORD-10330</t>
  </si>
  <si>
    <t>ORD-10498</t>
  </si>
  <si>
    <t>ORD-10294</t>
  </si>
  <si>
    <t>ORD-10545</t>
  </si>
  <si>
    <t>ORD-10414</t>
  </si>
  <si>
    <t>ORD-10439</t>
  </si>
  <si>
    <t>ORD-10081</t>
  </si>
  <si>
    <t>ORD-10528</t>
  </si>
  <si>
    <t>ORD-10428</t>
  </si>
  <si>
    <t>ORD-10288</t>
  </si>
  <si>
    <t>ORD-10302</t>
  </si>
  <si>
    <t>ORD-10064</t>
  </si>
  <si>
    <t>ORD-10062</t>
  </si>
  <si>
    <t>ORD-10300</t>
  </si>
  <si>
    <t>ORD-10376</t>
  </si>
  <si>
    <t>ORD-10234</t>
  </si>
  <si>
    <t>ORD-10401</t>
  </si>
  <si>
    <t>ORD-10082</t>
  </si>
  <si>
    <t>ORD-10009</t>
  </si>
  <si>
    <t>ORD-10261</t>
  </si>
  <si>
    <t>ORD-10324</t>
  </si>
  <si>
    <t>ORD-10195</t>
  </si>
  <si>
    <t>ORD-10310</t>
  </si>
  <si>
    <t>ORD-10409</t>
  </si>
  <si>
    <t>ORD-10097</t>
  </si>
  <si>
    <t>ORD-10086</t>
  </si>
  <si>
    <t>ORD-10246</t>
  </si>
  <si>
    <t>ORD-10157</t>
  </si>
  <si>
    <t>ORD-10459</t>
  </si>
  <si>
    <t>ORD-10270</t>
  </si>
  <si>
    <t>ORD-10122</t>
  </si>
  <si>
    <t>ORD-10485</t>
  </si>
  <si>
    <t>ORD-10038</t>
  </si>
  <si>
    <t>ORD-10457</t>
  </si>
  <si>
    <t>ORD-10336</t>
  </si>
  <si>
    <t>ORD-10165</t>
  </si>
  <si>
    <t>ORD-10322</t>
  </si>
  <si>
    <t>ORD-10138</t>
  </si>
  <si>
    <t>ORD-10252</t>
  </si>
  <si>
    <t>ORD-10027</t>
  </si>
  <si>
    <t>ORD-10427</t>
  </si>
  <si>
    <t>ORD-10260</t>
  </si>
  <si>
    <t>ORD-10180</t>
  </si>
  <si>
    <t>ORD-10402</t>
  </si>
  <si>
    <t>ORD-10475</t>
  </si>
  <si>
    <t>ORD-10303</t>
  </si>
  <si>
    <t>ORD-10070</t>
  </si>
  <si>
    <t>ORD-10016</t>
  </si>
  <si>
    <t>ORD-10325</t>
  </si>
  <si>
    <t>ORD-10510</t>
  </si>
  <si>
    <t>ORD-10469</t>
  </si>
  <si>
    <t>ORD-10276</t>
  </si>
  <si>
    <t>ORD-10037</t>
  </si>
  <si>
    <t>ORD-10421</t>
  </si>
  <si>
    <t>ORD-10522</t>
  </si>
  <si>
    <t>ORD-10433</t>
  </si>
  <si>
    <t>ORD-10059</t>
  </si>
  <si>
    <t>ORD-10235</t>
  </si>
  <si>
    <t>ORD-10108</t>
  </si>
  <si>
    <t>ORD-10412</t>
  </si>
  <si>
    <t>ORD-10345</t>
  </si>
  <si>
    <t>ORD-10343</t>
  </si>
  <si>
    <t>ORD-10443</t>
  </si>
  <si>
    <t>ORD-10125</t>
  </si>
  <si>
    <t>ORD-10093</t>
  </si>
  <si>
    <t>ORD-10391</t>
  </si>
  <si>
    <t>ORD-10338</t>
  </si>
  <si>
    <t>ORD-10308</t>
  </si>
  <si>
    <t>ORD-10148</t>
  </si>
  <si>
    <t>ORD-10478</t>
  </si>
  <si>
    <t>ORD-10375</t>
  </si>
  <si>
    <t>ORD-10213</t>
  </si>
  <si>
    <t>ORD-10455</t>
  </si>
  <si>
    <t>ORD-10135</t>
  </si>
  <si>
    <t>ORD-10394</t>
  </si>
  <si>
    <t>ORD-10295</t>
  </si>
  <si>
    <t>ORD-10075</t>
  </si>
  <si>
    <t>ORD-10453</t>
  </si>
  <si>
    <t>ORD-10541</t>
  </si>
  <si>
    <t>ORD-10359</t>
  </si>
  <si>
    <t>ORD-10005</t>
  </si>
  <si>
    <t>ORD-10066</t>
  </si>
  <si>
    <t>ORD-10329</t>
  </si>
  <si>
    <t>ORD-10543</t>
  </si>
  <si>
    <t>ORD-10130</t>
  </si>
  <si>
    <t>ORD-10231</t>
  </si>
  <si>
    <t>ORD-10013</t>
  </si>
  <si>
    <t>ORD-10548</t>
  </si>
  <si>
    <t>ORD-10472</t>
  </si>
  <si>
    <t>ORD-10267</t>
  </si>
  <si>
    <t>ORD-10366</t>
  </si>
  <si>
    <t>ORD-10222</t>
  </si>
  <si>
    <t>ORD-10173</t>
  </si>
  <si>
    <t>ORD-10205</t>
  </si>
  <si>
    <t>ORD-10365</t>
  </si>
  <si>
    <t>ORD-10318</t>
  </si>
  <si>
    <t>ORD-10416</t>
  </si>
  <si>
    <t>ORD-10055</t>
  </si>
  <si>
    <t>ORD-10460</t>
  </si>
  <si>
    <t>ORD-10151</t>
  </si>
  <si>
    <t>ORD-10282</t>
  </si>
  <si>
    <t>ORD-10483</t>
  </si>
  <si>
    <t>ORD-10468</t>
  </si>
  <si>
    <t>ORD-10107</t>
  </si>
  <si>
    <t>ORD-10232</t>
  </si>
  <si>
    <t>ORD-10238</t>
  </si>
  <si>
    <t>ORD-10368</t>
  </si>
  <si>
    <t>ORD-10025</t>
  </si>
  <si>
    <t>ORD-10464</t>
  </si>
  <si>
    <t>ORD-10442</t>
  </si>
  <si>
    <t>ORD-10381</t>
  </si>
  <si>
    <t>ORD-10083</t>
  </si>
  <si>
    <t>ORD-10515</t>
  </si>
  <si>
    <t>ORD-10431</t>
  </si>
  <si>
    <t>ORD-10102</t>
  </si>
  <si>
    <t>ORD-10077</t>
  </si>
  <si>
    <t>ORD-10398</t>
  </si>
  <si>
    <t>ORD-10289</t>
  </si>
  <si>
    <t>ORD-10113</t>
  </si>
  <si>
    <t>ORD-10358</t>
  </si>
  <si>
    <t>ORD-10367</t>
  </si>
  <si>
    <t>ORD-10247</t>
  </si>
  <si>
    <t>ORD-10438</t>
  </si>
  <si>
    <t>ORD-10511</t>
  </si>
  <si>
    <t>ORD-10426</t>
  </si>
  <si>
    <t>ORD-10494</t>
  </si>
  <si>
    <t>ORD-10111</t>
  </si>
  <si>
    <t>ORD-10534</t>
  </si>
  <si>
    <t>ORD-10091</t>
  </si>
  <si>
    <t>ORD-10206</t>
  </si>
  <si>
    <t>ORD-10171</t>
  </si>
  <si>
    <t>ORD-10537</t>
  </si>
  <si>
    <t>ORD-10482</t>
  </si>
  <si>
    <t>ORD-10057</t>
  </si>
  <si>
    <t>ORD-10242</t>
  </si>
  <si>
    <t>ORD-10088</t>
  </si>
  <si>
    <t>ORD-10098</t>
  </si>
  <si>
    <t>ORD-10117</t>
  </si>
  <si>
    <t>ORD-10202</t>
  </si>
  <si>
    <t>ORD-10385</t>
  </si>
  <si>
    <t>ORD-10477</t>
  </si>
  <si>
    <t>ORD-10214</t>
  </si>
  <si>
    <t>ORD-10389</t>
  </si>
  <si>
    <t>ORD-10452</t>
  </si>
  <si>
    <t>ORD-10370</t>
  </si>
  <si>
    <t>ORD-10514</t>
  </si>
  <si>
    <t>ORD-10505</t>
  </si>
  <si>
    <t>ORD-10071</t>
  </si>
  <si>
    <t>ORD-10297</t>
  </si>
  <si>
    <t>ORD-10226</t>
  </si>
  <si>
    <t>ORD-10090</t>
  </si>
  <si>
    <t>ORD-10387</t>
  </si>
  <si>
    <t>ORD-10384</t>
  </si>
  <si>
    <t>ORD-10538</t>
  </si>
  <si>
    <t>ORD-10437</t>
  </si>
  <si>
    <t>ORD-10020</t>
  </si>
  <si>
    <t>ORD-10015</t>
  </si>
  <si>
    <t>ORD-10253</t>
  </si>
  <si>
    <t>ORD-10474</t>
  </si>
  <si>
    <t>ORD-10121</t>
  </si>
  <si>
    <t>ORD-10286</t>
  </si>
  <si>
    <t>ORD-10043</t>
  </si>
  <si>
    <t>ORD-10197</t>
  </si>
  <si>
    <t>ORD-10034</t>
  </si>
  <si>
    <t>ORD-10251</t>
  </si>
  <si>
    <t>ORD-10509</t>
  </si>
  <si>
    <t>ORD-10550</t>
  </si>
  <si>
    <t>ORD-10396</t>
  </si>
  <si>
    <t>ORD-10476</t>
  </si>
  <si>
    <t>ORD-10339</t>
  </si>
  <si>
    <t>ORD-10291</t>
  </si>
  <si>
    <t>ORD-10311</t>
  </si>
  <si>
    <t>ORD-10017</t>
  </si>
  <si>
    <t>ORD-10159</t>
  </si>
  <si>
    <t>ORD-10244</t>
  </si>
  <si>
    <t>ORD-10067</t>
  </si>
  <si>
    <t>ORD-10499</t>
  </si>
  <si>
    <t>ORD-10524</t>
  </si>
  <si>
    <t>ORD-10120</t>
  </si>
  <si>
    <t>ORD-10239</t>
  </si>
  <si>
    <t>ORD-10010</t>
  </si>
  <si>
    <t>ORD-10445</t>
  </si>
  <si>
    <t>ORD-10019</t>
  </si>
  <si>
    <t>ORD-10154</t>
  </si>
  <si>
    <t>ORD-10529</t>
  </si>
  <si>
    <t>ORD-10432</t>
  </si>
  <si>
    <t>ORD-10257</t>
  </si>
  <si>
    <t>ORD-10456</t>
  </si>
  <si>
    <t>ORD-10369</t>
  </si>
  <si>
    <t>ORD-10305</t>
  </si>
  <si>
    <t>ORD-10273</t>
  </si>
  <si>
    <t>ORD-10408</t>
  </si>
  <si>
    <t>ORD-10134</t>
  </si>
  <si>
    <t>ORD-10481</t>
  </si>
  <si>
    <t>ORD-10254</t>
  </si>
  <si>
    <t>ORD-10271</t>
  </si>
  <si>
    <t>ORD-10162</t>
  </si>
  <si>
    <t>ORD-10340</t>
  </si>
  <si>
    <t>ORD-10287</t>
  </si>
  <si>
    <t>ORD-10422</t>
  </si>
  <si>
    <t>ORD-10399</t>
  </si>
  <si>
    <t>ORD-10405</t>
  </si>
  <si>
    <t>ORD-10342</t>
  </si>
  <si>
    <t>ORD-10337</t>
  </si>
  <si>
    <t>ORD-10512</t>
  </si>
  <si>
    <t>ORD-10002</t>
  </si>
  <si>
    <t>ORD-10225</t>
  </si>
  <si>
    <t>ORD-10208</t>
  </si>
  <si>
    <t>ORD-10118</t>
  </si>
  <si>
    <t>ORD-10508</t>
  </si>
  <si>
    <t>ORD-10419</t>
  </si>
  <si>
    <t>ORD-10527</t>
  </si>
  <si>
    <t>ORD-10265</t>
  </si>
  <si>
    <t>ORD-10275</t>
  </si>
  <si>
    <t>ORD-10129</t>
  </si>
  <si>
    <t>ORD-10415</t>
  </si>
  <si>
    <t>ORD-10099</t>
  </si>
  <si>
    <t>ORD-10436</t>
  </si>
  <si>
    <t>ORD-10022</t>
  </si>
  <si>
    <t>ORD-10194</t>
  </si>
  <si>
    <t>ORD-10006</t>
  </si>
  <si>
    <t>ORD-10490</t>
  </si>
  <si>
    <t>ORD-10314</t>
  </si>
  <si>
    <t>ORD-10380</t>
  </si>
  <si>
    <t>ORD-10136</t>
  </si>
  <si>
    <t>ORD-10355</t>
  </si>
  <si>
    <t>ORD-10346</t>
  </si>
  <si>
    <t>ORD-10523</t>
  </si>
  <si>
    <t>ORD-10449</t>
  </si>
  <si>
    <t>ORD-10328</t>
  </si>
  <si>
    <t>ORD-10199</t>
  </si>
  <si>
    <t>ORD-10495</t>
  </si>
  <si>
    <t>ORD-10204</t>
  </si>
  <si>
    <t>ORD-10068</t>
  </si>
  <si>
    <t>ORD-10224</t>
  </si>
  <si>
    <t>ORD-10128</t>
  </si>
  <si>
    <t>ORD-10144</t>
  </si>
  <si>
    <t>ORD-10327</t>
  </si>
  <si>
    <t>ORD-10479</t>
  </si>
  <si>
    <t>ORD-10140</t>
  </si>
  <si>
    <t>ORD-10219</t>
  </si>
  <si>
    <t>ORD-10503</t>
  </si>
  <si>
    <t>ORD-10331</t>
  </si>
  <si>
    <t>ORD-10158</t>
  </si>
  <si>
    <t>ORD-10095</t>
  </si>
  <si>
    <t>ORD-10256</t>
  </si>
  <si>
    <t>ORD-10080</t>
  </si>
  <si>
    <t>ORD-10132</t>
  </si>
  <si>
    <t>ORD-10227</t>
  </si>
  <si>
    <t>ORD-10040</t>
  </si>
  <si>
    <t>ORD-10131</t>
  </si>
  <si>
    <t>ORD-10190</t>
  </si>
  <si>
    <t>ORD-10220</t>
  </si>
  <si>
    <t>ORD-10520</t>
  </si>
  <si>
    <t>ORD-10403</t>
  </si>
  <si>
    <t>ORD-10249</t>
  </si>
  <si>
    <t>ORD-10039</t>
  </si>
  <si>
    <t>ORD-10243</t>
  </si>
  <si>
    <t>ORD-10373</t>
  </si>
  <si>
    <t>ORD-10354</t>
  </si>
  <si>
    <t>ORD-10488</t>
  </si>
  <si>
    <t>ORD-10139</t>
  </si>
  <si>
    <t>ORD-10023</t>
  </si>
  <si>
    <t>ORD-10411</t>
  </si>
  <si>
    <t>ORD-10160</t>
  </si>
  <si>
    <t>ORD-10395</t>
  </si>
  <si>
    <t>ORD-10371</t>
  </si>
  <si>
    <t>ORD-10026</t>
  </si>
  <si>
    <t>ORD-10184</t>
  </si>
  <si>
    <t>ORD-10241</t>
  </si>
  <si>
    <t>ORD-10014</t>
  </si>
  <si>
    <t>ORD-10146</t>
  </si>
  <si>
    <t>ORD-10487</t>
  </si>
  <si>
    <t>ORD-10454</t>
  </si>
  <si>
    <t>ORD-10417</t>
  </si>
  <si>
    <t>ORD-10315</t>
  </si>
  <si>
    <t>ORD-10362</t>
  </si>
  <si>
    <t>ORD-10079</t>
  </si>
  <si>
    <t>ORD-10321</t>
  </si>
  <si>
    <t>ORD-10496</t>
  </si>
  <si>
    <t>ORD-10233</t>
  </si>
  <si>
    <t>ORD-10465</t>
  </si>
  <si>
    <t>ORD-10053</t>
  </si>
  <si>
    <t>ORD-10356</t>
  </si>
  <si>
    <t>ORD-10035</t>
  </si>
  <si>
    <t>ORD-10335</t>
  </si>
  <si>
    <t>ORD-10549</t>
  </si>
  <si>
    <t>ORD-10377</t>
  </si>
  <si>
    <t>ORD-10185</t>
  </si>
  <si>
    <t>ORD-10312</t>
  </si>
  <si>
    <t>ORD-10424</t>
  </si>
  <si>
    <t>ORD-10519</t>
  </si>
  <si>
    <t>ORD-10326</t>
  </si>
  <si>
    <t>ORD-10188</t>
  </si>
  <si>
    <t>ORD-10430</t>
  </si>
  <si>
    <t>ORD-10285</t>
  </si>
  <si>
    <t>ORD-10392</t>
  </si>
  <si>
    <t>ORD-10388</t>
  </si>
  <si>
    <t>ORD-10533</t>
  </si>
  <si>
    <t>ORD-10166</t>
  </si>
  <si>
    <t>ORD-10471</t>
  </si>
  <si>
    <t>ORD-10299</t>
  </si>
  <si>
    <t>ORD-10024</t>
  </si>
  <si>
    <t>ORD-10230</t>
  </si>
  <si>
    <t>ORD-10348</t>
  </si>
  <si>
    <t>ORD-10502</t>
  </si>
  <si>
    <t>ORD-10183</t>
  </si>
  <si>
    <t>ORD-10344</t>
  </si>
  <si>
    <t>ORD-10042</t>
  </si>
  <si>
    <t>ORD-10357</t>
  </si>
  <si>
    <t>ORD-10237</t>
  </si>
  <si>
    <t>ORD-10268</t>
  </si>
  <si>
    <t>ORD-10351</t>
  </si>
  <si>
    <t>ORD-10076</t>
  </si>
  <si>
    <t>ORD-10032</t>
  </si>
  <si>
    <t>ORD-10447</t>
  </si>
  <si>
    <t>ORD-10448</t>
  </si>
  <si>
    <t>ORD-10350</t>
  </si>
  <si>
    <t>ORD-10046</t>
  </si>
  <si>
    <t>ORD-10418</t>
  </si>
  <si>
    <t>ORD-10229</t>
  </si>
  <si>
    <t>ORD-10109</t>
  </si>
  <si>
    <t>ORD-10106</t>
  </si>
  <si>
    <t>ORD-10150</t>
  </si>
  <si>
    <t>ORD-10030</t>
  </si>
  <si>
    <t>ORD-10182</t>
  </si>
  <si>
    <t>ORD-10110</t>
  </si>
  <si>
    <t>ORD-10420</t>
  </si>
  <si>
    <t>ORD-10123</t>
  </si>
  <si>
    <t>ORD-10284</t>
  </si>
  <si>
    <t>ORD-10105</t>
  </si>
  <si>
    <t>ORD-10061</t>
  </si>
  <si>
    <t>ORD-10147</t>
  </si>
  <si>
    <t>ORD-10084</t>
  </si>
  <si>
    <t>ORD-10491</t>
  </si>
  <si>
    <t>ORD-10316</t>
  </si>
  <si>
    <t>ORD-10451</t>
  </si>
  <si>
    <t>ORD-10507</t>
  </si>
  <si>
    <t>ORD-10382</t>
  </si>
  <si>
    <t>ORD-10423</t>
  </si>
  <si>
    <t>ORD-10497</t>
  </si>
  <si>
    <t>ORD-10526</t>
  </si>
  <si>
    <t>ORD-10228</t>
  </si>
  <si>
    <t>ORD-10525</t>
  </si>
  <si>
    <t>ORD-10446</t>
  </si>
  <si>
    <t>ORD-10152</t>
  </si>
  <si>
    <t>ORD-10001</t>
  </si>
  <si>
    <t>ORD-10540</t>
  </si>
  <si>
    <t>ORD-10458</t>
  </si>
  <si>
    <t>ORD-10489</t>
  </si>
  <si>
    <t>ORD-10089</t>
  </si>
  <si>
    <t>ORD-10484</t>
  </si>
  <si>
    <t>ORD-10461</t>
  </si>
  <si>
    <t>ORD-10078</t>
  </si>
  <si>
    <t>ORD-10269</t>
  </si>
  <si>
    <t>ORD-10124</t>
  </si>
  <si>
    <t>ORD-10298</t>
  </si>
  <si>
    <t>ORD-10096</t>
  </si>
  <si>
    <t>ORD-10012</t>
  </si>
  <si>
    <t>ORD-10115</t>
  </si>
  <si>
    <t>ORD-10429</t>
  </si>
  <si>
    <t>ORD-10258</t>
  </si>
  <si>
    <t>ORD-10353</t>
  </si>
  <si>
    <t>ORD-10170</t>
  </si>
  <si>
    <t>ORD-10240</t>
  </si>
  <si>
    <t>ORD-10278</t>
  </si>
  <si>
    <t>ORD-10161</t>
  </si>
  <si>
    <t>ORD-10074</t>
  </si>
  <si>
    <t>ORD-10530</t>
  </si>
  <si>
    <t>ORD-10063</t>
  </si>
  <si>
    <t>ORD-10493</t>
  </si>
  <si>
    <t>ORD-10048</t>
  </si>
  <si>
    <t>ORD-10547</t>
  </si>
  <si>
    <t>ORD-10506</t>
  </si>
  <si>
    <t>ORD-10021</t>
  </si>
  <si>
    <t>ORD-10425</t>
  </si>
  <si>
    <t>ORD-10193</t>
  </si>
  <si>
    <t>ORD-10216</t>
  </si>
  <si>
    <t>ORD-10245</t>
  </si>
  <si>
    <t>ORD-10364</t>
  </si>
  <si>
    <t>ORD-10060</t>
  </si>
  <si>
    <t>ORD-10177</t>
  </si>
  <si>
    <t>ORD-10450</t>
  </si>
  <si>
    <t>ORD-10056</t>
  </si>
  <si>
    <t>ORD-10255</t>
  </si>
  <si>
    <t>ORD-10386</t>
  </si>
  <si>
    <t>ORD-10198</t>
  </si>
  <si>
    <t>ORD-10069</t>
  </si>
  <si>
    <t>ORD-10169</t>
  </si>
  <si>
    <t>ORD-10186</t>
  </si>
  <si>
    <t>ORD-10036</t>
  </si>
  <si>
    <t>Liam Miller</t>
  </si>
  <si>
    <t>Ava Thomas</t>
  </si>
  <si>
    <t xml:space="preserve"> alex morgan </t>
  </si>
  <si>
    <t>Lily Hall</t>
  </si>
  <si>
    <t>Sophia Taylor</t>
  </si>
  <si>
    <t>Daniel Harris</t>
  </si>
  <si>
    <t>Mia White</t>
  </si>
  <si>
    <t>Grace Moore</t>
  </si>
  <si>
    <t>Henry Clark</t>
  </si>
  <si>
    <t>Olivia Davis</t>
  </si>
  <si>
    <t>Noah Brown</t>
  </si>
  <si>
    <t xml:space="preserve"> sophia taylor </t>
  </si>
  <si>
    <t>Lucas Jackson</t>
  </si>
  <si>
    <t>Chloe Lewis</t>
  </si>
  <si>
    <t>Emma Wilson</t>
  </si>
  <si>
    <t>Ella Martin</t>
  </si>
  <si>
    <t xml:space="preserve"> olivia davis </t>
  </si>
  <si>
    <t>Benjamin Walker</t>
  </si>
  <si>
    <t xml:space="preserve"> grace moore </t>
  </si>
  <si>
    <t>Alex Morgan</t>
  </si>
  <si>
    <t>Ethan Anderson</t>
  </si>
  <si>
    <t>James Thompson</t>
  </si>
  <si>
    <t xml:space="preserve"> benjamin walker </t>
  </si>
  <si>
    <t xml:space="preserve"> ella martin </t>
  </si>
  <si>
    <t xml:space="preserve"> henry clark </t>
  </si>
  <si>
    <t xml:space="preserve"> liam miller </t>
  </si>
  <si>
    <t xml:space="preserve"> daniel harris </t>
  </si>
  <si>
    <t xml:space="preserve"> mia white </t>
  </si>
  <si>
    <t xml:space="preserve"> james thompson </t>
  </si>
  <si>
    <t xml:space="preserve"> ava thomas </t>
  </si>
  <si>
    <t xml:space="preserve"> noah brown </t>
  </si>
  <si>
    <t xml:space="preserve"> lucas jackson </t>
  </si>
  <si>
    <t xml:space="preserve"> emma wilson </t>
  </si>
  <si>
    <t xml:space="preserve"> chloe lewis </t>
  </si>
  <si>
    <t xml:space="preserve"> ethan anderson </t>
  </si>
  <si>
    <t xml:space="preserve"> lily hall </t>
  </si>
  <si>
    <t>UAE</t>
  </si>
  <si>
    <t xml:space="preserve"> australia</t>
  </si>
  <si>
    <t>UK</t>
  </si>
  <si>
    <t>AUS</t>
  </si>
  <si>
    <t xml:space="preserve"> germany </t>
  </si>
  <si>
    <t>USA</t>
  </si>
  <si>
    <t>SG</t>
  </si>
  <si>
    <t>CAN</t>
  </si>
  <si>
    <t>DE</t>
  </si>
  <si>
    <t>India</t>
  </si>
  <si>
    <t xml:space="preserve"> singapore </t>
  </si>
  <si>
    <t>United Arab Emirates</t>
  </si>
  <si>
    <t>US</t>
  </si>
  <si>
    <t>United Kingdom</t>
  </si>
  <si>
    <t>Singapore</t>
  </si>
  <si>
    <t>Australia</t>
  </si>
  <si>
    <t>Canada</t>
  </si>
  <si>
    <t>U.K.</t>
  </si>
  <si>
    <t>Germany</t>
  </si>
  <si>
    <t xml:space="preserve"> united kingdom</t>
  </si>
  <si>
    <t xml:space="preserve"> india </t>
  </si>
  <si>
    <t>IN</t>
  </si>
  <si>
    <t xml:space="preserve"> canada </t>
  </si>
  <si>
    <t xml:space="preserve"> uae </t>
  </si>
  <si>
    <t>United States</t>
  </si>
  <si>
    <t>U.A.E.</t>
  </si>
  <si>
    <t xml:space="preserve"> united states </t>
  </si>
  <si>
    <t>Desk Lamp</t>
  </si>
  <si>
    <t>Laptop Stand</t>
  </si>
  <si>
    <t>Wireless Mouse</t>
  </si>
  <si>
    <t>SSD 1TB</t>
  </si>
  <si>
    <t>External HDD 2TB</t>
  </si>
  <si>
    <t>Headphones</t>
  </si>
  <si>
    <t>USB-C Hub</t>
  </si>
  <si>
    <t>Office Chair</t>
  </si>
  <si>
    <t>Webcam</t>
  </si>
  <si>
    <t>Mechanical Keyboard</t>
  </si>
  <si>
    <t>Monitor 27-inch</t>
  </si>
  <si>
    <t>Monitor 24-inch</t>
  </si>
  <si>
    <t>Furniture</t>
  </si>
  <si>
    <t>Accessories</t>
  </si>
  <si>
    <t>Storage</t>
  </si>
  <si>
    <t>Electronics</t>
  </si>
  <si>
    <t>paypal</t>
  </si>
  <si>
    <t>credit card</t>
  </si>
  <si>
    <t>PayPal</t>
  </si>
  <si>
    <t>Bank Transfer</t>
  </si>
  <si>
    <t>Debit Card</t>
  </si>
  <si>
    <t>Credit Card</t>
  </si>
  <si>
    <t>Completed</t>
  </si>
  <si>
    <t>Pending</t>
  </si>
  <si>
    <t>Cancelled</t>
  </si>
  <si>
    <t>Shipped</t>
  </si>
  <si>
    <t>completed</t>
  </si>
  <si>
    <t>pending</t>
  </si>
  <si>
    <t>cancelled</t>
  </si>
  <si>
    <t>shipped</t>
  </si>
  <si>
    <t>liam.miller@example.com</t>
  </si>
  <si>
    <t>ava.thomas@example.com</t>
  </si>
  <si>
    <t>alex.morgan@example.com</t>
  </si>
  <si>
    <t>lily.hall@example.com</t>
  </si>
  <si>
    <t>sophia.taylor@example.com</t>
  </si>
  <si>
    <t>daniel.harris@example</t>
  </si>
  <si>
    <t>mia.white@example.com</t>
  </si>
  <si>
    <t>grace.moore@example.com</t>
  </si>
  <si>
    <t>henry.clark@example.com</t>
  </si>
  <si>
    <t>olivia.davis@example.com</t>
  </si>
  <si>
    <t>daniel.harris@example.com</t>
  </si>
  <si>
    <t>noah.brown@example.com</t>
  </si>
  <si>
    <t>lucas.jackson@example.com</t>
  </si>
  <si>
    <t>chloe.lewis@example.com</t>
  </si>
  <si>
    <t>emma.wilson@example.com</t>
  </si>
  <si>
    <t>ella.martin@example.com</t>
  </si>
  <si>
    <t>benjamin.walker@example.com</t>
  </si>
  <si>
    <t>ethan.anderson@example.com</t>
  </si>
  <si>
    <t>james.thompson@example</t>
  </si>
  <si>
    <t>james.thompson@example.com</t>
  </si>
  <si>
    <t>henry.clark@example</t>
  </si>
  <si>
    <t>lily.hall@example</t>
  </si>
  <si>
    <t>emma.wilson@example</t>
  </si>
  <si>
    <t>ava.thomas@example</t>
  </si>
  <si>
    <t>noah.brown@example</t>
  </si>
  <si>
    <t>lucas.jackson@example</t>
  </si>
  <si>
    <t>ethan.anderson@example</t>
  </si>
  <si>
    <t>sophia.taylor@example</t>
  </si>
  <si>
    <t>chloe.lewis@example</t>
  </si>
  <si>
    <t>PROJECT 1</t>
  </si>
  <si>
    <t>OBJECTIVE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</si>
  <si>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</si>
  <si>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</si>
  <si>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</si>
  <si>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</si>
  <si>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</si>
  <si>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</si>
  <si>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</si>
  <si>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</si>
  <si>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</si>
  <si>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</si>
  <si>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TASK 11</t>
  </si>
  <si>
    <t>TASK 12</t>
  </si>
  <si>
    <t>International E-commerce Sales Data Cleaning &amp; Executive Dashboard</t>
  </si>
  <si>
    <t>Clean a messy sales dataset, calculate business KPIs, and create an executive dashboard in Excel.</t>
  </si>
  <si>
    <t>Identify and remove duplicate records.</t>
  </si>
  <si>
    <t>Standardize Country, Customer_Name, Payment_Method and Order_Status.</t>
  </si>
  <si>
    <t>Handle missing values appropriately and document your approach.</t>
  </si>
  <si>
    <t>Validate email addresses and flag invalid records.</t>
  </si>
  <si>
    <t>Create Total Sales = Quantity × Unit Price × (1 − Discount).</t>
  </si>
  <si>
    <t>Create Total Cost = Quantity × Unit Cost.</t>
  </si>
  <si>
    <t>Create Gross Profit = Total Sales − Total Cost.</t>
  </si>
  <si>
    <t>Create Profit Margin % = Gross Profit ÷ Total Sales.</t>
  </si>
  <si>
    <t>Analyse Sales, Profit, Orders and Average Order Value by month and country.</t>
  </si>
  <si>
    <t>Identify top 5 products and best-performing countries.</t>
  </si>
  <si>
    <t>Build an executive dashboard with KPI cards, trends and at least 3 useful charts.</t>
  </si>
  <si>
    <t>Write 5 business insights and 3 recommendations based on your analysis.</t>
  </si>
  <si>
    <t>Country_clean</t>
  </si>
  <si>
    <t>Customer_Name_Clean</t>
  </si>
  <si>
    <t>Payment_Method_clean</t>
  </si>
  <si>
    <t>Order_Status_Clean</t>
  </si>
  <si>
    <t>Unknown</t>
  </si>
  <si>
    <t>Email_Validation</t>
  </si>
  <si>
    <t>Revenue</t>
  </si>
  <si>
    <t>Revenue_USD</t>
  </si>
  <si>
    <t>Cost_USD</t>
  </si>
  <si>
    <t>Gross_Profit_USD</t>
  </si>
  <si>
    <t>Profit_Margin</t>
  </si>
  <si>
    <t>KPI</t>
  </si>
  <si>
    <t>Total Revenue</t>
  </si>
  <si>
    <t>Total Cost</t>
  </si>
  <si>
    <t xml:space="preserve">Gross Profit </t>
  </si>
  <si>
    <t>Overall Profit Margin</t>
  </si>
  <si>
    <t>Total Orders</t>
  </si>
  <si>
    <t>Value</t>
  </si>
  <si>
    <t>Average Order Value</t>
  </si>
  <si>
    <t>Row Labels</t>
  </si>
  <si>
    <t>Grand Total</t>
  </si>
  <si>
    <t>Sum of Revenue_USD</t>
  </si>
  <si>
    <t>Sum of Gross_Profit_USD</t>
  </si>
  <si>
    <t>Gross Profit</t>
  </si>
  <si>
    <t>Gross Margin</t>
  </si>
  <si>
    <t>Sum of Gross Margin</t>
  </si>
  <si>
    <t>Status</t>
  </si>
  <si>
    <t>Task</t>
  </si>
  <si>
    <t>Data Cleaning</t>
  </si>
  <si>
    <t>Data Validation</t>
  </si>
  <si>
    <t>KPI Analysis</t>
  </si>
  <si>
    <t>Category Analysis</t>
  </si>
  <si>
    <t>Country Analysis</t>
  </si>
  <si>
    <t>Time Analysis</t>
  </si>
  <si>
    <t>Product Analysis</t>
  </si>
  <si>
    <t>Dashboard</t>
  </si>
  <si>
    <t>Documentation</t>
  </si>
  <si>
    <t>Done</t>
  </si>
  <si>
    <t>Percentage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</si>
  <si>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</si>
  <si>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</si>
  <si>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</si>
  <si>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</si>
  <si>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</si>
  <si>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</si>
  <si>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</si>
  <si>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</si>
  <si>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</si>
  <si>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</si>
  <si>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</si>
  <si>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</si>
  <si>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</si>
  <si>
    <t>E-Commerce Sales Performance Dashboard</t>
  </si>
  <si>
    <t>2025 | Sales, Profitability &amp; Market Performance</t>
  </si>
  <si>
    <t>Profit Margin</t>
  </si>
  <si>
    <t>Top Revenue Market</t>
  </si>
  <si>
    <t>Performance Overview</t>
  </si>
  <si>
    <t>Key Business Insights</t>
  </si>
  <si>
    <t>Insight 1 — Top market</t>
  </si>
  <si>
    <t xml:space="preserve"> UAE is the highest-revenue market at $24.44K.</t>
  </si>
  <si>
    <t>Insight 2 — Product concentration</t>
  </si>
  <si>
    <t>🖥️ The two monitor products generate $61.35K, approximately 41.7% of total revenue.</t>
  </si>
  <si>
    <t>Insight 3 — Margin opportunity</t>
  </si>
  <si>
    <t>💰 Accessories have the highest gross margin at 50.23%, while Electronics has the lowest at 37.55%.</t>
  </si>
  <si>
    <t>Insight 4 — Monthly performance</t>
  </si>
  <si>
    <t>📈 November was the strongest month with $17.11K in revenue, while February was the weakest at $6.60K.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</si>
</sst>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"/>
    <numFmt numFmtId="165" formatCode="0.0%"/>
    <numFmt numFmtId="166" formatCode="yyyy\-mm\-dd\ hh:mm:ss"/>
    <numFmt numFmtId="167" formatCode="_-[$$-409]* #,##0.00_ ;_-[$$-409]* \-#,##0.00\ ;_-[$$-409]* &quot;-&quot;??_ ;_-@_ "/>
    <numFmt numFmtId="168" formatCode="[$$-C09]#,##0.00"/>
    <numFmt numFmtId="169" formatCode="[$$-409]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vertical="top" wrapText="1"/>
    </xf>
    <xf numFmtId="0" fontId="1" fillId="0" borderId="2" xfId="0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vertical="top"/>
    </xf>
    <xf numFmtId="10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indent="1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/>
    </xf>
    <xf numFmtId="0" fontId="2" fillId="0" borderId="0" xfId="0" applyFont="1"/>
    <xf numFmtId="167" fontId="0" fillId="2" borderId="0" xfId="0" applyNumberFormat="1" applyFill="1" applyAlignment="1">
      <alignment horizontal="left" vertical="center"/>
    </xf>
    <xf numFmtId="0" fontId="0" fillId="3" borderId="0" xfId="0" applyFill="1"/>
    <xf numFmtId="0" fontId="2" fillId="3" borderId="0" xfId="0" applyFont="1" applyFill="1"/>
    <xf numFmtId="0" fontId="3" fillId="3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/>
    </xf>
    <xf numFmtId="0" fontId="5" fillId="0" borderId="0" xfId="0" applyFont="1"/>
    <xf numFmtId="169" fontId="6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168" fontId="6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/>
    </xf>
    <xf numFmtId="10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0" tint="-0.14996795556505021"/>
        </patternFill>
      </fill>
    </dxf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mruColors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[Project_01_Ecommerce_Sales_Dashboard.xlsx]Pivot _Category!PivotTable1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IN"/>
              <a:t>Revenue &amp; Gross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_Category'!$B$3</c:f>
              <c:strCache>
                <c:ptCount val="1"/>
                <c:pt idx="0">
                  <c:v>Sum of Revenue_USD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_Category'!$A$4:$A$8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Storage</c:v>
                </c:pt>
              </c:strCache>
            </c:strRef>
          </c:cat>
          <c:val>
            <c:numRef>
              <c:f>'Pivot _Category'!$B$4:$B$8</c:f>
              <c:numCache>
                <c:formatCode>General</c:formatCode>
                <c:ptCount val="4"/>
                <c:pt idx="0">
                  <c:v>22750.949999999993</c:v>
                </c:pt>
                <c:pt idx="1">
                  <c:v>83834.250000000015</c:v>
                </c:pt>
                <c:pt idx="2">
                  <c:v>22881.000000000007</c:v>
                </c:pt>
                <c:pt idx="3">
                  <c:v>17552.899999999994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60-43FA-BB84-6EC1DAFEC464}"/>
            </c:ext>
          </c:extLst>
        </c:ser>
        <c:ser>
          <c:idx val="1"/>
          <c:order val="1"/>
          <c:tx>
            <c:strRef>
              <c:f>'Pivot _Category'!$C$3</c:f>
              <c:strCache>
                <c:ptCount val="1"/>
                <c:pt idx="0">
                  <c:v>Sum of Gross_Profit_USD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_Category'!$A$4:$A$8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Storage</c:v>
                </c:pt>
              </c:strCache>
            </c:strRef>
          </c:cat>
          <c:val>
            <c:numRef>
              <c:f>'Pivot _Category'!$C$4:$C$8</c:f>
              <c:numCache>
                <c:formatCode>General</c:formatCode>
                <c:ptCount val="4"/>
                <c:pt idx="0">
                  <c:v>11426.95</c:v>
                </c:pt>
                <c:pt idx="1">
                  <c:v>31480.249999999996</c:v>
                </c:pt>
                <c:pt idx="2">
                  <c:v>9259.9999999999982</c:v>
                </c:pt>
                <c:pt idx="3">
                  <c:v>6830.9000000000005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660-43FA-BB84-6EC1DAFEC4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6075008"/>
        <c:axId val="1155734736"/>
      </c:barChart>
      <c:catAx>
        <c:axId val="7360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155734736"/>
        <c:crosses val="autoZero"/>
        <c:auto val="1"/>
        <c:lblAlgn val="ctr"/>
        <c:lblOffset val="100"/>
        <c:noMultiLvlLbl val="0"/>
      </c:catAx>
      <c:valAx>
        <c:axId val="11557347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360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 paperSize="9"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[Project_01_Ecommerce_Sales_Dashboard.xlsx]Pivot_Monthly!PivotTable3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IN"/>
              <a:t>Monthly Revenue &amp; Gross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2060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rgbClr val="00206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Pivot_Monthly!$B$3</c:f>
              <c:strCache>
                <c:ptCount val="1"/>
                <c:pt idx="0">
                  <c:v>Sum of Revenue_USD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00206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Pivot_Monthly!$A$4:$A$17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Pivot_Monthly!$B$4:$B$17</c:f>
              <c:numCache>
                <c:formatCode>General</c:formatCode>
                <c:ptCount val="12"/>
                <c:pt idx="0">
                  <c:v>8896.65</c:v>
                </c:pt>
                <c:pt idx="1">
                  <c:v>6599.5</c:v>
                </c:pt>
                <c:pt idx="2">
                  <c:v>12881.55</c:v>
                </c:pt>
                <c:pt idx="3">
                  <c:v>16177.349999999999</c:v>
                </c:pt>
                <c:pt idx="4">
                  <c:v>12989.750000000002</c:v>
                </c:pt>
                <c:pt idx="5">
                  <c:v>12847.400000000001</c:v>
                </c:pt>
                <c:pt idx="6">
                  <c:v>11353.949999999999</c:v>
                </c:pt>
                <c:pt idx="7">
                  <c:v>14305.050000000001</c:v>
                </c:pt>
                <c:pt idx="8">
                  <c:v>10804.6</c:v>
                </c:pt>
                <c:pt idx="9">
                  <c:v>12654.500000000002</c:v>
                </c:pt>
                <c:pt idx="10">
                  <c:v>17111.2</c:v>
                </c:pt>
                <c:pt idx="11">
                  <c:v>10397.599999999999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42-44D0-9FF9-0EC5B993231E}"/>
            </c:ext>
          </c:extLst>
        </c:ser>
        <c:ser>
          <c:idx val="1"/>
          <c:order val="1"/>
          <c:tx>
            <c:strRef>
              <c:f>Pivot_Monthly!$C$3</c:f>
              <c:strCache>
                <c:ptCount val="1"/>
                <c:pt idx="0">
                  <c:v>Sum of Gross_Profit_USD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Pivot_Monthly!$A$4:$A$17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Pivot_Monthly!$C$4:$C$17</c:f>
              <c:numCache>
                <c:formatCode>General</c:formatCode>
                <c:ptCount val="12"/>
                <c:pt idx="0">
                  <c:v>3504.65</c:v>
                </c:pt>
                <c:pt idx="1">
                  <c:v>2987.4999999999995</c:v>
                </c:pt>
                <c:pt idx="2">
                  <c:v>5040.55</c:v>
                </c:pt>
                <c:pt idx="3">
                  <c:v>6337.35</c:v>
                </c:pt>
                <c:pt idx="4">
                  <c:v>5413.7499999999991</c:v>
                </c:pt>
                <c:pt idx="5">
                  <c:v>5248.4</c:v>
                </c:pt>
                <c:pt idx="6">
                  <c:v>4496.9500000000007</c:v>
                </c:pt>
                <c:pt idx="7">
                  <c:v>5677.0499999999993</c:v>
                </c:pt>
                <c:pt idx="8">
                  <c:v>4532.6000000000004</c:v>
                </c:pt>
                <c:pt idx="9">
                  <c:v>4841.5</c:v>
                </c:pt>
                <c:pt idx="10">
                  <c:v>6660.2</c:v>
                </c:pt>
                <c:pt idx="11">
                  <c:v>4257.6000000000004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42-44D0-9FF9-0EC5B993231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05737072"/>
        <c:axId val="1155708336"/>
      </c:lineChart>
      <c:catAx>
        <c:axId val="120573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155708336"/>
        <c:crosses val="autoZero"/>
        <c:auto val="1"/>
        <c:lblAlgn val="ctr"/>
        <c:lblOffset val="100"/>
        <c:noMultiLvlLbl val="0"/>
      </c:catAx>
      <c:valAx>
        <c:axId val="11557083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0573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[Project_01_Ecommerce_Sales_Dashboard.xlsx]Pivot_Country!PivotTable2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IN"/>
              <a:t>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Pivot_Country!$B$3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Pivot_Country!$A$4:$A$13</c:f>
              <c:strCache>
                <c:ptCount val="9"/>
                <c:pt idx="0">
                  <c:v>Australia</c:v>
                </c:pt>
                <c:pt idx="1">
                  <c:v>Canada</c:v>
                </c:pt>
                <c:pt idx="2">
                  <c:v>Germany</c:v>
                </c:pt>
                <c:pt idx="3">
                  <c:v>India</c:v>
                </c:pt>
                <c:pt idx="4">
                  <c:v>Singapore</c:v>
                </c:pt>
                <c:pt idx="5">
                  <c:v>United Arab Emirates</c:v>
                </c:pt>
                <c:pt idx="6">
                  <c:v>United Kingdom</c:v>
                </c:pt>
                <c:pt idx="7">
                  <c:v>United States</c:v>
                </c:pt>
                <c:pt idx="8">
                  <c:v>Unknown</c:v>
                </c:pt>
              </c:strCache>
            </c:strRef>
          </c:cat>
          <c:val>
            <c:numRef>
              <c:f>Pivot_Country!$B$4:$B$13</c:f>
              <c:numCache>
                <c:formatCode>General</c:formatCode>
                <c:ptCount val="9"/>
                <c:pt idx="0">
                  <c:v>19511.05</c:v>
                </c:pt>
                <c:pt idx="1">
                  <c:v>14616</c:v>
                </c:pt>
                <c:pt idx="2">
                  <c:v>15601.1</c:v>
                </c:pt>
                <c:pt idx="3">
                  <c:v>17289</c:v>
                </c:pt>
                <c:pt idx="4">
                  <c:v>21326.350000000002</c:v>
                </c:pt>
                <c:pt idx="5">
                  <c:v>24443.250000000004</c:v>
                </c:pt>
                <c:pt idx="6">
                  <c:v>15647.9</c:v>
                </c:pt>
                <c:pt idx="7">
                  <c:v>17255.749999999996</c:v>
                </c:pt>
                <c:pt idx="8">
                  <c:v>1328.7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F-4FB6-AB48-92928B092C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91520944"/>
        <c:axId val="1155727056"/>
      </c:barChart>
      <c:catAx>
        <c:axId val="1191520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155727056"/>
        <c:crosses val="autoZero"/>
        <c:auto val="1"/>
        <c:lblAlgn val="ctr"/>
        <c:lblOffset val="100"/>
        <c:noMultiLvlLbl val="0"/>
      </c:catAx>
      <c:valAx>
        <c:axId val="11557270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9152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[Project_01_Ecommerce_Sales_Dashboard.xlsx]Pivot _Category!PivotTable5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IN"/>
              <a:t>Gross Margin by Category</a:t>
            </a:r>
          </a:p>
        </c:rich>
      </c:tx>
      <c:layout>
        <c:manualLayout>
          <c:xMode val="edge"/>
          <c:yMode val="edge"/>
          <c:x val="0.35117136585617925"/>
          <c:y val="9.40564744567924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_Category'!$B$12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_Category'!$A$13:$A$17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Storage</c:v>
                </c:pt>
              </c:strCache>
            </c:strRef>
          </c:cat>
          <c:val>
            <c:numRef>
              <c:f>'Pivot _Category'!$B$13:$B$17</c:f>
              <c:numCache>
                <c:formatCode>0.00%</c:formatCode>
                <c:ptCount val="4"/>
                <c:pt idx="0">
                  <c:v>0.5022625428828249</c:v>
                </c:pt>
                <c:pt idx="1">
                  <c:v>0.37550583442924568</c:v>
                </c:pt>
                <c:pt idx="2">
                  <c:v>0.40470259166994427</c:v>
                </c:pt>
                <c:pt idx="3">
                  <c:v>0.3891607654575599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9-4035-A9C9-300CFAA1CA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33133648"/>
        <c:axId val="1155724656"/>
      </c:barChart>
      <c:catAx>
        <c:axId val="93313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155724656"/>
        <c:crosses val="autoZero"/>
        <c:auto val="1"/>
        <c:lblAlgn val="ctr"/>
        <c:lblOffset val="100"/>
        <c:noMultiLvlLbl val="0"/>
      </c:catAx>
      <c:valAx>
        <c:axId val="115572465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93313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12</xdr:row>
      <xdr:rowOff>95250</xdr:rowOff>
    </xdr:from>
    <xdr:to>
      <xdr:col>3</xdr:col>
      <xdr:colOff>1018592</xdr:colOff>
      <xdr:row>29</xdr:row>
      <xdr:rowOff>46290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6B68B55-6E22-0735-E88D-9CABD714A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53029</xdr:colOff>
      <xdr:row>30</xdr:row>
      <xdr:rowOff>165073</xdr:rowOff>
    </xdr:from>
    <xdr:to>
      <xdr:col>3</xdr:col>
      <xdr:colOff>1003041</xdr:colOff>
      <xdr:row>47</xdr:row>
      <xdr:rowOff>116113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4635C074-EC79-3893-1A62-C60AEF107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1016104</xdr:colOff>
      <xdr:row>12</xdr:row>
      <xdr:rowOff>126508</xdr:rowOff>
    </xdr:from>
    <xdr:to>
      <xdr:col>14</xdr:col>
      <xdr:colOff>283715</xdr:colOff>
      <xdr:row>29</xdr:row>
      <xdr:rowOff>77548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E0950C62-5B9A-1A36-334B-7D38E7D3C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1352027</xdr:colOff>
      <xdr:row>29</xdr:row>
      <xdr:rowOff>136921</xdr:rowOff>
    </xdr:from>
    <xdr:to>
      <xdr:col>15</xdr:col>
      <xdr:colOff>16826</xdr:colOff>
      <xdr:row>46</xdr:row>
      <xdr:rowOff>70094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08A2CB79-0D86-B8E4-6CED-DFD4625B8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1466850</xdr:colOff>
      <xdr:row>4</xdr:row>
      <xdr:rowOff>266700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797F4C6-126E-C8E5-DD4F-DF4DEDC176EB}"/>
            </a:ext>
          </a:extLst>
        </xdr:cNvPr>
        <xdr:cNvSpPr txBox="1"/>
      </xdr:nvSpPr>
      <xdr:spPr>
        <a:xfrm>
          <a:off x="1466850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 Friend" refreshedDate="46245.909864004629" createdVersion="8" refreshedVersion="8" minRefreshableVersion="3" recordCount="550" xr:uid="{5D043CC2-CABB-4F50-9DF1-99DCE097B934}">
  <cacheSource type="worksheet">
    <worksheetSource ref="A1:V551" sheet="Clean_Data"/>
  </cacheSource>
  <cacheFields count="25">
    <cacheField name="Order_ID" numFmtId="0">
      <sharedItems/>
    </cacheField>
    <cacheField name="Order_Date" numFmtId="166">
      <sharedItems containsSemiMixedTypes="0" containsNonDate="0" containsDate="1" containsString="0" minDate="2025-01-01T00:00:00" maxDate="2026-01-01T00:00:00" count="287">
        <d v="2025-03-19T00:00:00"/>
        <d v="2025-08-25T00:00:00"/>
        <d v="2025-04-30T00:00:00"/>
        <d v="2025-06-26T00:00:00"/>
        <d v="2025-12-09T00:00:00"/>
        <d v="2025-04-17T00:00:00"/>
        <d v="2025-08-31T00:00:00"/>
        <d v="2025-04-06T00:00:00"/>
        <d v="2025-03-27T00:00:00"/>
        <d v="2025-09-14T00:00:00"/>
        <d v="2025-05-24T00:00:00"/>
        <d v="2025-09-18T00:00:00"/>
        <d v="2025-06-22T00:00:00"/>
        <d v="2025-06-17T00:00:00"/>
        <d v="2025-05-18T00:00:00"/>
        <d v="2025-12-27T00:00:00"/>
        <d v="2025-09-08T00:00:00"/>
        <d v="2025-02-16T00:00:00"/>
        <d v="2025-11-18T00:00:00"/>
        <d v="2025-06-07T00:00:00"/>
        <d v="2025-08-20T00:00:00"/>
        <d v="2025-06-23T00:00:00"/>
        <d v="2025-05-15T00:00:00"/>
        <d v="2025-10-03T00:00:00"/>
        <d v="2025-01-27T00:00:00"/>
        <d v="2025-03-17T00:00:00"/>
        <d v="2025-07-14T00:00:00"/>
        <d v="2025-07-07T00:00:00"/>
        <d v="2025-02-18T00:00:00"/>
        <d v="2025-01-17T00:00:00"/>
        <d v="2025-05-01T00:00:00"/>
        <d v="2025-06-03T00:00:00"/>
        <d v="2025-03-31T00:00:00"/>
        <d v="2025-11-06T00:00:00"/>
        <d v="2025-10-08T00:00:00"/>
        <d v="2025-04-25T00:00:00"/>
        <d v="2025-11-22T00:00:00"/>
        <d v="2025-06-30T00:00:00"/>
        <d v="2025-04-26T00:00:00"/>
        <d v="2025-02-08T00:00:00"/>
        <d v="2025-12-07T00:00:00"/>
        <d v="2025-11-12T00:00:00"/>
        <d v="2025-07-01T00:00:00"/>
        <d v="2025-05-12T00:00:00"/>
        <d v="2025-09-30T00:00:00"/>
        <d v="2025-09-26T00:00:00"/>
        <d v="2025-10-15T00:00:00"/>
        <d v="2025-07-03T00:00:00"/>
        <d v="2025-06-13T00:00:00"/>
        <d v="2025-08-27T00:00:00"/>
        <d v="2025-02-03T00:00:00"/>
        <d v="2025-08-16T00:00:00"/>
        <d v="2025-09-19T00:00:00"/>
        <d v="2025-01-31T00:00:00"/>
        <d v="2025-02-12T00:00:00"/>
        <d v="2025-09-03T00:00:00"/>
        <d v="2025-06-18T00:00:00"/>
        <d v="2025-07-23T00:00:00"/>
        <d v="2025-01-28T00:00:00"/>
        <d v="2025-02-28T00:00:00"/>
        <d v="2025-03-13T00:00:00"/>
        <d v="2025-03-25T00:00:00"/>
        <d v="2025-02-27T00:00:00"/>
        <d v="2025-11-30T00:00:00"/>
        <d v="2025-03-09T00:00:00"/>
        <d v="2025-09-25T00:00:00"/>
        <d v="2025-07-25T00:00:00"/>
        <d v="2025-07-15T00:00:00"/>
        <d v="2025-07-22T00:00:00"/>
        <d v="2025-05-10T00:00:00"/>
        <d v="2025-08-14T00:00:00"/>
        <d v="2025-10-20T00:00:00"/>
        <d v="2025-06-06T00:00:00"/>
        <d v="2025-08-30T00:00:00"/>
        <d v="2025-04-04T00:00:00"/>
        <d v="2025-05-26T00:00:00"/>
        <d v="2025-10-30T00:00:00"/>
        <d v="2025-04-29T00:00:00"/>
        <d v="2025-05-02T00:00:00"/>
        <d v="2025-10-04T00:00:00"/>
        <d v="2025-11-29T00:00:00"/>
        <d v="2025-08-05T00:00:00"/>
        <d v="2025-12-18T00:00:00"/>
        <d v="2025-02-21T00:00:00"/>
        <d v="2025-10-09T00:00:00"/>
        <d v="2025-12-11T00:00:00"/>
        <d v="2025-08-04T00:00:00"/>
        <d v="2025-04-27T00:00:00"/>
        <d v="2025-08-08T00:00:00"/>
        <d v="2025-10-07T00:00:00"/>
        <d v="2025-11-11T00:00:00"/>
        <d v="2025-01-04T00:00:00"/>
        <d v="2025-04-09T00:00:00"/>
        <d v="2025-04-24T00:00:00"/>
        <d v="2025-05-29T00:00:00"/>
        <d v="2025-08-02T00:00:00"/>
        <d v="2025-08-15T00:00:00"/>
        <d v="2025-12-23T00:00:00"/>
        <d v="2025-11-02T00:00:00"/>
        <d v="2025-05-21T00:00:00"/>
        <d v="2025-12-14T00:00:00"/>
        <d v="2025-06-19T00:00:00"/>
        <d v="2025-10-27T00:00:00"/>
        <d v="2025-06-16T00:00:00"/>
        <d v="2025-10-11T00:00:00"/>
        <d v="2025-08-06T00:00:00"/>
        <d v="2025-11-14T00:00:00"/>
        <d v="2025-04-22T00:00:00"/>
        <d v="2025-10-12T00:00:00"/>
        <d v="2025-12-06T00:00:00"/>
        <d v="2025-08-23T00:00:00"/>
        <d v="2025-03-07T00:00:00"/>
        <d v="2025-11-21T00:00:00"/>
        <d v="2025-06-10T00:00:00"/>
        <d v="2025-06-27T00:00:00"/>
        <d v="2025-07-02T00:00:00"/>
        <d v="2025-09-28T00:00:00"/>
        <d v="2025-04-14T00:00:00"/>
        <d v="2025-01-12T00:00:00"/>
        <d v="2025-12-17T00:00:00"/>
        <d v="2025-08-24T00:00:00"/>
        <d v="2025-05-28T00:00:00"/>
        <d v="2025-10-29T00:00:00"/>
        <d v="2025-04-23T00:00:00"/>
        <d v="2025-10-21T00:00:00"/>
        <d v="2025-06-21T00:00:00"/>
        <d v="2025-05-03T00:00:00"/>
        <d v="2025-10-25T00:00:00"/>
        <d v="2025-06-25T00:00:00"/>
        <d v="2025-02-07T00:00:00"/>
        <d v="2025-11-17T00:00:00"/>
        <d v="2025-09-04T00:00:00"/>
        <d v="2025-08-26T00:00:00"/>
        <d v="2025-06-24T00:00:00"/>
        <d v="2025-02-17T00:00:00"/>
        <d v="2025-07-11T00:00:00"/>
        <d v="2025-07-13T00:00:00"/>
        <d v="2025-05-06T00:00:00"/>
        <d v="2025-01-21T00:00:00"/>
        <d v="2025-09-07T00:00:00"/>
        <d v="2025-01-23T00:00:00"/>
        <d v="2025-03-28T00:00:00"/>
        <d v="2025-12-31T00:00:00"/>
        <d v="2025-05-20T00:00:00"/>
        <d v="2025-03-04T00:00:00"/>
        <d v="2025-10-13T00:00:00"/>
        <d v="2025-10-26T00:00:00"/>
        <d v="2025-11-05T00:00:00"/>
        <d v="2025-03-01T00:00:00"/>
        <d v="2025-09-05T00:00:00"/>
        <d v="2025-10-14T00:00:00"/>
        <d v="2025-01-06T00:00:00"/>
        <d v="2025-07-12T00:00:00"/>
        <d v="2025-07-18T00:00:00"/>
        <d v="2025-06-04T00:00:00"/>
        <d v="2025-12-19T00:00:00"/>
        <d v="2025-02-22T00:00:00"/>
        <d v="2025-06-09T00:00:00"/>
        <d v="2025-03-02T00:00:00"/>
        <d v="2025-05-30T00:00:00"/>
        <d v="2025-11-25T00:00:00"/>
        <d v="2025-09-15T00:00:00"/>
        <d v="2025-05-09T00:00:00"/>
        <d v="2025-02-15T00:00:00"/>
        <d v="2025-03-15T00:00:00"/>
        <d v="2025-08-22T00:00:00"/>
        <d v="2025-01-11T00:00:00"/>
        <d v="2025-04-21T00:00:00"/>
        <d v="2025-07-16T00:00:00"/>
        <d v="2025-03-12T00:00:00"/>
        <d v="2025-12-28T00:00:00"/>
        <d v="2025-11-03T00:00:00"/>
        <d v="2025-07-27T00:00:00"/>
        <d v="2025-11-10T00:00:00"/>
        <d v="2025-04-11T00:00:00"/>
        <d v="2025-03-03T00:00:00"/>
        <d v="2025-12-12T00:00:00"/>
        <d v="2025-11-27T00:00:00"/>
        <d v="2025-04-18T00:00:00"/>
        <d v="2025-09-21T00:00:00"/>
        <d v="2025-04-13T00:00:00"/>
        <d v="2025-12-16T00:00:00"/>
        <d v="2025-11-23T00:00:00"/>
        <d v="2025-12-15T00:00:00"/>
        <d v="2025-10-17T00:00:00"/>
        <d v="2025-03-29T00:00:00"/>
        <d v="2025-01-01T00:00:00"/>
        <d v="2025-03-21T00:00:00"/>
        <d v="2025-07-31T00:00:00"/>
        <d v="2025-06-11T00:00:00"/>
        <d v="2025-05-14T00:00:00"/>
        <d v="2025-09-13T00:00:00"/>
        <d v="2025-10-01T00:00:00"/>
        <d v="2025-08-19T00:00:00"/>
        <d v="2025-08-12T00:00:00"/>
        <d v="2025-03-26T00:00:00"/>
        <d v="2025-07-17T00:00:00"/>
        <d v="2025-10-28T00:00:00"/>
        <d v="2025-04-01T00:00:00"/>
        <d v="2025-07-19T00:00:00"/>
        <d v="2025-08-09T00:00:00"/>
        <d v="2025-04-08T00:00:00"/>
        <d v="2025-12-04T00:00:00"/>
        <d v="2025-04-15T00:00:00"/>
        <d v="2025-09-23T00:00:00"/>
        <d v="2025-11-24T00:00:00"/>
        <d v="2025-09-24T00:00:00"/>
        <d v="2025-01-08T00:00:00"/>
        <d v="2025-01-18T00:00:00"/>
        <d v="2025-07-29T00:00:00"/>
        <d v="2025-01-25T00:00:00"/>
        <d v="2025-12-05T00:00:00"/>
        <d v="2025-07-04T00:00:00"/>
        <d v="2025-05-08T00:00:00"/>
        <d v="2025-02-13T00:00:00"/>
        <d v="2025-08-11T00:00:00"/>
        <d v="2025-10-16T00:00:00"/>
        <d v="2025-12-26T00:00:00"/>
        <d v="2025-09-16T00:00:00"/>
        <d v="2025-12-25T00:00:00"/>
        <d v="2025-04-16T00:00:00"/>
        <d v="2025-01-16T00:00:00"/>
        <d v="2025-03-18T00:00:00"/>
        <d v="2025-02-23T00:00:00"/>
        <d v="2025-11-20T00:00:00"/>
        <d v="2025-02-10T00:00:00"/>
        <d v="2025-06-15T00:00:00"/>
        <d v="2025-03-11T00:00:00"/>
        <d v="2025-12-02T00:00:00"/>
        <d v="2025-05-04T00:00:00"/>
        <d v="2025-04-19T00:00:00"/>
        <d v="2025-02-05T00:00:00"/>
        <d v="2025-03-16T00:00:00"/>
        <d v="2025-01-13T00:00:00"/>
        <d v="2025-04-12T00:00:00"/>
        <d v="2025-11-28T00:00:00"/>
        <d v="2025-12-21T00:00:00"/>
        <d v="2025-07-20T00:00:00"/>
        <d v="2025-03-23T00:00:00"/>
        <d v="2025-11-15T00:00:00"/>
        <d v="2025-12-10T00:00:00"/>
        <d v="2025-05-17T00:00:00"/>
        <d v="2025-01-03T00:00:00"/>
        <d v="2025-07-10T00:00:00"/>
        <d v="2025-06-20T00:00:00"/>
        <d v="2025-09-09T00:00:00"/>
        <d v="2025-02-09T00:00:00"/>
        <d v="2025-01-20T00:00:00"/>
        <d v="2025-07-06T00:00:00"/>
        <d v="2025-11-26T00:00:00"/>
        <d v="2025-11-16T00:00:00"/>
        <d v="2025-03-14T00:00:00"/>
        <d v="2025-02-02T00:00:00"/>
        <d v="2025-05-27T00:00:00"/>
        <d v="2025-05-13T00:00:00"/>
        <d v="2025-12-13T00:00:00"/>
        <d v="2025-08-18T00:00:00"/>
        <d v="2025-09-11T00:00:00"/>
        <d v="2025-05-31T00:00:00"/>
        <d v="2025-12-29T00:00:00"/>
        <d v="2025-04-20T00:00:00"/>
        <d v="2025-01-07T00:00:00"/>
        <d v="2025-09-20T00:00:00"/>
        <d v="2025-04-10T00:00:00"/>
        <d v="2025-08-01T00:00:00"/>
        <d v="2025-08-10T00:00:00"/>
        <d v="2025-07-09T00:00:00"/>
        <d v="2025-09-02T00:00:00"/>
        <d v="2025-04-03T00:00:00"/>
        <d v="2025-04-05T00:00:00"/>
        <d v="2025-06-01T00:00:00"/>
        <d v="2025-11-08T00:00:00"/>
        <d v="2025-08-07T00:00:00"/>
        <d v="2025-12-08T00:00:00"/>
        <d v="2025-01-24T00:00:00"/>
        <d v="2025-07-28T00:00:00"/>
        <d v="2025-06-08T00:00:00"/>
        <d v="2025-01-26T00:00:00"/>
        <d v="2025-01-10T00:00:00"/>
        <d v="2025-06-12T00:00:00"/>
        <d v="2025-02-06T00:00:00"/>
        <d v="2025-06-28T00:00:00"/>
        <d v="2025-04-28T00:00:00"/>
        <d v="2025-07-24T00:00:00"/>
        <d v="2025-01-05T00:00:00"/>
        <d v="2025-10-18T00:00:00"/>
        <d v="2025-05-25T00:00:00"/>
      </sharedItems>
      <fieldGroup par="24"/>
    </cacheField>
    <cacheField name="Customer_Name" numFmtId="0">
      <sharedItems/>
    </cacheField>
    <cacheField name="Customer_Name_Clean" numFmtId="0">
      <sharedItems/>
    </cacheField>
    <cacheField name="Country" numFmtId="0">
      <sharedItems containsBlank="1"/>
    </cacheField>
    <cacheField name="Country_clean" numFmtId="0">
      <sharedItems count="9">
        <s v="United Arab Emirates"/>
        <s v="Australia"/>
        <s v="United Kingdom"/>
        <s v="Germany"/>
        <s v="United States"/>
        <s v="Singapore"/>
        <s v="Canada"/>
        <s v="India"/>
        <s v="Unknown"/>
      </sharedItems>
    </cacheField>
    <cacheField name="Product" numFmtId="0">
      <sharedItems count="12">
        <s v="Desk Lamp"/>
        <s v="Laptop Stand"/>
        <s v="Wireless Mouse"/>
        <s v="SSD 1TB"/>
        <s v="External HDD 2TB"/>
        <s v="Headphones"/>
        <s v="USB-C Hub"/>
        <s v="Office Chair"/>
        <s v="Webcam"/>
        <s v="Mechanical Keyboard"/>
        <s v="Monitor 27-inch"/>
        <s v="Monitor 24-inch"/>
      </sharedItems>
    </cacheField>
    <cacheField name="Category" numFmtId="0">
      <sharedItems count="4">
        <s v="Furniture"/>
        <s v="Accessories"/>
        <s v="Storage"/>
        <s v="Electronics"/>
      </sharedItems>
    </cacheField>
    <cacheField name="Quantity" numFmtId="0">
      <sharedItems containsSemiMixedTypes="0" containsString="0" containsNumber="1" containsInteger="1" minValue="1" maxValue="5"/>
    </cacheField>
    <cacheField name="Unit_Price_USD" numFmtId="164">
      <sharedItems containsSemiMixedTypes="0" containsString="0" containsNumber="1" containsInteger="1" minValue="18" maxValue="245"/>
    </cacheField>
    <cacheField name="Unit_Cost_USD" numFmtId="164">
      <sharedItems containsSemiMixedTypes="0" containsString="0" containsNumber="1" containsInteger="1" minValue="7" maxValue="150"/>
    </cacheField>
    <cacheField name="Discount" numFmtId="165">
      <sharedItems containsSemiMixedTypes="0" containsString="0" containsNumber="1" minValue="0" maxValue="0.2"/>
    </cacheField>
    <cacheField name="Payment_Method" numFmtId="0">
      <sharedItems containsBlank="1"/>
    </cacheField>
    <cacheField name="Payment_Method_clean" numFmtId="0">
      <sharedItems/>
    </cacheField>
    <cacheField name="Order_Status" numFmtId="0">
      <sharedItems/>
    </cacheField>
    <cacheField name="Order_Status_Clean" numFmtId="0">
      <sharedItems/>
    </cacheField>
    <cacheField name="Email_Validation" numFmtId="0">
      <sharedItems/>
    </cacheField>
    <cacheField name="Customer_Email" numFmtId="0">
      <sharedItems containsBlank="1"/>
    </cacheField>
    <cacheField name="Revenue_USD" numFmtId="0">
      <sharedItems containsSemiMixedTypes="0" containsString="0" containsNumber="1" minValue="15.299999999999999" maxValue="1225"/>
    </cacheField>
    <cacheField name="Cost_USD" numFmtId="0">
      <sharedItems containsSemiMixedTypes="0" containsString="0" containsNumber="1" containsInteger="1" minValue="7" maxValue="750"/>
    </cacheField>
    <cacheField name="Gross_Profit_USD" numFmtId="0">
      <sharedItems containsSemiMixedTypes="0" containsString="0" containsNumber="1" minValue="8.2999999999999989" maxValue="475" count="200">
        <n v="60"/>
        <n v="84"/>
        <n v="10.099999999999998"/>
        <n v="39"/>
        <n v="34.399999999999991"/>
        <n v="126"/>
        <n v="29.199999999999996"/>
        <n v="164"/>
        <n v="56.699999999999989"/>
        <n v="74.5"/>
        <n v="78.150000000000006"/>
        <n v="63"/>
        <n v="123"/>
        <n v="80"/>
        <n v="115.5"/>
        <n v="32.799999999999997"/>
        <n v="30.75"/>
        <n v="55"/>
        <n v="61.199999999999989"/>
        <n v="20.600000000000009"/>
        <n v="80.599999999999994"/>
        <n v="100.80000000000001"/>
        <n v="75.599999999999994"/>
        <n v="58"/>
        <n v="147"/>
        <n v="34"/>
        <n v="68.799999999999983"/>
        <n v="86"/>
        <n v="36.799999999999997"/>
        <n v="120"/>
        <n v="16.399999999999999"/>
        <n v="298"/>
        <n v="211.5"/>
        <n v="33"/>
        <n v="107"/>
        <n v="141"/>
        <n v="60.449999999999989"/>
        <n v="76.5"/>
        <n v="82.75"/>
        <n v="121.25"/>
        <n v="87.5"/>
        <n v="34.800000000000011"/>
        <n v="29"/>
        <n v="190"/>
        <n v="145.5"/>
        <n v="82.400000000000034"/>
        <n v="122.5"/>
        <n v="52.099999999999994"/>
        <n v="37.799999999999997"/>
        <n v="40.299999999999997"/>
        <n v="141.25"/>
        <n v="76.400000000000006"/>
        <n v="54.599999999999994"/>
        <n v="218.75"/>
        <n v="149"/>
        <n v="20.199999999999996"/>
        <n v="36.75"/>
        <n v="282"/>
        <n v="92.4"/>
        <n v="210"/>
        <n v="70.5"/>
        <n v="105"/>
        <n v="306.25"/>
        <n v="30.599999999999994"/>
        <n v="110"/>
        <n v="22"/>
        <n v="29.099999999999994"/>
        <n v="170"/>
        <n v="95"/>
        <n v="65.599999999999994"/>
        <n v="46"/>
        <n v="67.200000000000017"/>
        <n v="85"/>
        <n v="174.75"/>
        <n v="25.200000000000003"/>
        <n v="18.199999999999996"/>
        <n v="44"/>
        <n v="230"/>
        <n v="87"/>
        <n v="58.799999999999983"/>
        <n v="285"/>
        <n v="58.399999999999991"/>
        <n v="157.5"/>
        <n v="82"/>
        <n v="223.5"/>
        <n v="117"/>
        <n v="100"/>
        <n v="72.799999999999983"/>
        <n v="65"/>
        <n v="27.5"/>
        <n v="42"/>
        <n v="413.75"/>
        <n v="132"/>
        <n v="183.75"/>
        <n v="255"/>
        <n v="70"/>
        <n v="425"/>
        <n v="102"/>
        <n v="17.200000000000003"/>
        <n v="28.25"/>
        <n v="78"/>
        <n v="156"/>
        <n v="91"/>
        <n v="116"/>
        <n v="136"/>
        <n v="42.599999999999994"/>
        <n v="262.5"/>
        <n v="50.400000000000006"/>
        <n v="69.300000000000011"/>
        <n v="94.5"/>
        <n v="138"/>
        <n v="32.5"/>
        <n v="11"/>
        <n v="24.25"/>
        <n v="64"/>
        <n v="128"/>
        <n v="51.600000000000009"/>
        <n v="72.75"/>
        <n v="40.399999999999991"/>
        <n v="19.100000000000001"/>
        <n v="68"/>
        <n v="233"/>
        <n v="110.25"/>
        <n v="33.600000000000009"/>
        <n v="352.5"/>
        <n v="16.599999999999998"/>
        <n v="21"/>
        <n v="175"/>
        <n v="58.199999999999989"/>
        <n v="97"/>
        <n v="52.5"/>
        <n v="92.25"/>
        <n v="26.049999999999997"/>
        <n v="280"/>
        <n v="145"/>
        <n v="41"/>
        <n v="106.5"/>
        <n v="103.19999999999999"/>
        <n v="137.5"/>
        <n v="50.5"/>
        <n v="40"/>
        <n v="44.099999999999994"/>
        <n v="16.800000000000004"/>
        <n v="61.5"/>
        <n v="350"/>
        <n v="36.399999999999991"/>
        <n v="24"/>
        <n v="104.19999999999999"/>
        <n v="130.25"/>
        <n v="67"/>
        <n v="73.5"/>
        <n v="162.5"/>
        <n v="380"/>
        <n v="58.25"/>
        <n v="160.5"/>
        <n v="192"/>
        <n v="116.5"/>
        <n v="248.25"/>
        <n v="66"/>
        <n v="87.299999999999983"/>
        <n v="99"/>
        <n v="29.799999999999997"/>
        <n v="100.75"/>
        <n v="195"/>
        <n v="140"/>
        <n v="20"/>
        <n v="53.5"/>
        <n v="12.8"/>
        <n v="372.5"/>
        <n v="320"/>
        <n v="184"/>
        <n v="95.5"/>
        <n v="205"/>
        <n v="137.59999999999997"/>
        <n v="57.3"/>
        <n v="165"/>
        <n v="214"/>
        <n v="165.5"/>
        <n v="73"/>
        <n v="38.400000000000006"/>
        <n v="49.2"/>
        <n v="43.75"/>
        <n v="46.2"/>
        <n v="84.75"/>
        <n v="63.900000000000006"/>
        <n v="43"/>
        <n v="130"/>
        <n v="68.800000000000011"/>
        <n v="21.299999999999997"/>
        <n v="131.25"/>
        <n v="30.299999999999997"/>
        <n v="13.400000000000002"/>
        <n v="51.599999999999994"/>
        <n v="113"/>
        <n v="97.5"/>
        <n v="8.2999999999999989"/>
        <n v="153.75"/>
        <n v="475"/>
        <n v="29.6"/>
        <n v="20.149999999999999"/>
      </sharedItems>
    </cacheField>
    <cacheField name="Profit_Margin" numFmtId="10">
      <sharedItems containsSemiMixedTypes="0" containsString="0" containsNumber="1" minValue="0.23469387755102042" maxValue="0.61111111111111116"/>
    </cacheField>
    <cacheField name="Gross Margin" numFmtId="0" formula="Gross_Profit_USD/Revenue_USD" databaseField="0"/>
    <cacheField name="Months (Order_Date)" numFmtId="0" databaseField="0">
      <fieldGroup base="1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Years (Order_Date)" numFmtId="0" databaseField="0">
      <fieldGroup base="1">
        <rangePr groupBy="years" startDate="2025-01-01T00:00:00" endDate="2026-01-01T00:00:00"/>
        <groupItems count="4">
          <s v="&lt;01-01-2025"/>
          <s v="2025"/>
          <s v="2026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s v="ORD-10087"/>
    <x v="0"/>
    <s v="Liam Miller"/>
    <s v="Liam Miller"/>
    <s v="UAE"/>
    <x v="0"/>
    <x v="0"/>
    <x v="0"/>
    <n v="3"/>
    <n v="36"/>
    <n v="16"/>
    <n v="0"/>
    <s v="paypal"/>
    <s v="PayPal"/>
    <s v="Completed"/>
    <s v="Completed"/>
    <s v="Valid"/>
    <s v="liam.miller@example.com"/>
    <n v="108"/>
    <n v="48"/>
    <x v="0"/>
    <n v="0.55555555555555558"/>
  </r>
  <r>
    <s v="ORD-10007"/>
    <x v="1"/>
    <s v="Ava Thomas"/>
    <s v="Ava Thomas"/>
    <s v="UAE"/>
    <x v="0"/>
    <x v="1"/>
    <x v="1"/>
    <n v="4"/>
    <n v="38"/>
    <n v="17"/>
    <n v="0"/>
    <s v="credit card"/>
    <s v="Credit Card"/>
    <s v="Completed"/>
    <s v="Completed"/>
    <s v="Valid"/>
    <s v="ava.thomas@example.com"/>
    <n v="152"/>
    <n v="68"/>
    <x v="1"/>
    <n v="0.55263157894736847"/>
  </r>
  <r>
    <s v="ORD-10143"/>
    <x v="2"/>
    <s v=" alex morgan "/>
    <s v="Alex Morgan"/>
    <s v=" australia"/>
    <x v="1"/>
    <x v="2"/>
    <x v="1"/>
    <n v="1"/>
    <n v="18"/>
    <n v="7"/>
    <n v="0.05"/>
    <s v="paypal"/>
    <s v="PayPal"/>
    <s v="Completed"/>
    <s v="Completed"/>
    <s v="Valid"/>
    <s v="alex.morgan@example.com"/>
    <n v="17.099999999999998"/>
    <n v="7"/>
    <x v="2"/>
    <n v="0.59064327485380108"/>
  </r>
  <r>
    <s v="ORD-10127"/>
    <x v="3"/>
    <s v="Liam Miller"/>
    <s v="Liam Miller"/>
    <s v="UK"/>
    <x v="2"/>
    <x v="3"/>
    <x v="2"/>
    <n v="1"/>
    <n v="92"/>
    <n v="53"/>
    <n v="0"/>
    <s v="credit card"/>
    <s v="Credit Card"/>
    <s v="Completed"/>
    <s v="Completed"/>
    <s v="Valid"/>
    <s v="liam.miller@example.com"/>
    <n v="92"/>
    <n v="53"/>
    <x v="3"/>
    <n v="0.42391304347826086"/>
  </r>
  <r>
    <s v="ORD-10470"/>
    <x v="4"/>
    <s v="Lily Hall"/>
    <s v="Lily Hall"/>
    <s v="AUS"/>
    <x v="1"/>
    <x v="3"/>
    <x v="2"/>
    <n v="1"/>
    <n v="92"/>
    <n v="53"/>
    <n v="0.05"/>
    <s v="Bank Transfer"/>
    <s v="Bank Transfer"/>
    <s v="Pending"/>
    <s v="Pending"/>
    <s v="Valid"/>
    <s v="lily.hall@example.com"/>
    <n v="87.399999999999991"/>
    <n v="53"/>
    <x v="4"/>
    <n v="0.39359267734553771"/>
  </r>
  <r>
    <s v="ORD-10279"/>
    <x v="5"/>
    <s v="Sophia Taylor"/>
    <s v="Sophia Taylor"/>
    <s v=" germany "/>
    <x v="3"/>
    <x v="4"/>
    <x v="2"/>
    <n v="5"/>
    <n v="78"/>
    <n v="45"/>
    <n v="0.1"/>
    <s v="Debit Card"/>
    <s v="Debit Card"/>
    <s v="Completed"/>
    <s v="Completed"/>
    <s v="Valid"/>
    <s v="sophia.taylor@example.com"/>
    <n v="351"/>
    <n v="225"/>
    <x v="5"/>
    <n v="0.35897435897435898"/>
  </r>
  <r>
    <s v="ORD-10463"/>
    <x v="6"/>
    <s v="Daniel Harris"/>
    <s v="Daniel Harris"/>
    <s v="USA"/>
    <x v="4"/>
    <x v="0"/>
    <x v="0"/>
    <n v="2"/>
    <n v="36"/>
    <n v="16"/>
    <n v="0.15"/>
    <s v="Bank Transfer"/>
    <s v="Bank Transfer"/>
    <s v="Completed"/>
    <s v="Completed"/>
    <s v="Invalid"/>
    <s v="daniel.harris@example"/>
    <n v="61.199999999999996"/>
    <n v="32"/>
    <x v="6"/>
    <n v="0.47712418300653592"/>
  </r>
  <r>
    <s v="ORD-10041"/>
    <x v="7"/>
    <s v="Mia White"/>
    <s v="Mia White"/>
    <s v=" germany "/>
    <x v="3"/>
    <x v="5"/>
    <x v="3"/>
    <n v="4"/>
    <n v="85"/>
    <n v="44"/>
    <n v="0"/>
    <s v="credit card"/>
    <s v="Credit Card"/>
    <s v="Completed"/>
    <s v="Completed"/>
    <s v="Valid"/>
    <s v="mia.white@example.com"/>
    <n v="340"/>
    <n v="176"/>
    <x v="7"/>
    <n v="0.4823529411764706"/>
  </r>
  <r>
    <s v="ORD-10207"/>
    <x v="8"/>
    <s v="Grace Moore"/>
    <s v="Grace Moore"/>
    <s v="SG"/>
    <x v="5"/>
    <x v="6"/>
    <x v="1"/>
    <n v="3"/>
    <n v="42"/>
    <n v="21"/>
    <n v="0.05"/>
    <s v="paypal"/>
    <s v="PayPal"/>
    <s v="Cancelled"/>
    <s v="Cancelled"/>
    <s v="Valid"/>
    <s v="grace.moore@example.com"/>
    <n v="119.69999999999999"/>
    <n v="63"/>
    <x v="8"/>
    <n v="0.47368421052631576"/>
  </r>
  <r>
    <s v="ORD-10011"/>
    <x v="9"/>
    <s v="Henry Clark"/>
    <s v="Henry Clark"/>
    <s v="CAN"/>
    <x v="6"/>
    <x v="7"/>
    <x v="0"/>
    <n v="1"/>
    <n v="210"/>
    <n v="125"/>
    <n v="0.05"/>
    <s v="paypal"/>
    <s v="PayPal"/>
    <s v="Cancelled"/>
    <s v="Cancelled"/>
    <s v="Valid"/>
    <s v="henry.clark@example.com"/>
    <n v="199.5"/>
    <n v="125"/>
    <x v="9"/>
    <n v="0.37343358395989973"/>
  </r>
  <r>
    <s v="ORD-10049"/>
    <x v="10"/>
    <s v="Olivia Davis"/>
    <s v="Olivia Davis"/>
    <s v="DE"/>
    <x v="3"/>
    <x v="8"/>
    <x v="3"/>
    <n v="3"/>
    <n v="59"/>
    <n v="30"/>
    <n v="0.05"/>
    <s v="credit card"/>
    <s v="Credit Card"/>
    <s v="Completed"/>
    <s v="Completed"/>
    <s v="Valid"/>
    <s v="olivia.davis@example.com"/>
    <n v="168.15"/>
    <n v="90"/>
    <x v="10"/>
    <n v="0.46476360392506694"/>
  </r>
  <r>
    <s v="ORD-10215"/>
    <x v="11"/>
    <s v="Daniel Harris"/>
    <s v="Daniel Harris"/>
    <s v="SG"/>
    <x v="5"/>
    <x v="6"/>
    <x v="1"/>
    <n v="3"/>
    <n v="42"/>
    <n v="21"/>
    <n v="0"/>
    <s v="paypal"/>
    <s v="PayPal"/>
    <s v="Pending"/>
    <s v="Pending"/>
    <s v="Valid"/>
    <s v="daniel.harris@example.com"/>
    <n v="126"/>
    <n v="63"/>
    <x v="11"/>
    <n v="0.5"/>
  </r>
  <r>
    <s v="ORD-10333"/>
    <x v="12"/>
    <s v="Noah Brown"/>
    <s v="Noah Brown"/>
    <s v=" germany "/>
    <x v="3"/>
    <x v="5"/>
    <x v="3"/>
    <n v="3"/>
    <n v="85"/>
    <n v="44"/>
    <n v="0"/>
    <s v="Debit Card"/>
    <s v="Debit Card"/>
    <s v="Completed"/>
    <s v="Completed"/>
    <s v="Valid"/>
    <s v="noah.brown@example.com"/>
    <n v="255"/>
    <n v="132"/>
    <x v="12"/>
    <n v="0.4823529411764706"/>
  </r>
  <r>
    <s v="ORD-10531"/>
    <x v="13"/>
    <s v="Henry Clark"/>
    <s v="Henry Clark"/>
    <s v="India"/>
    <x v="7"/>
    <x v="0"/>
    <x v="0"/>
    <n v="4"/>
    <n v="36"/>
    <n v="16"/>
    <n v="0"/>
    <s v="credit card"/>
    <s v="Credit Card"/>
    <s v="Completed"/>
    <s v="Completed"/>
    <s v="Valid"/>
    <s v="henry.clark@example.com"/>
    <n v="144"/>
    <n v="64"/>
    <x v="13"/>
    <n v="0.55555555555555558"/>
  </r>
  <r>
    <s v="ORD-10341"/>
    <x v="14"/>
    <s v=" sophia taylor "/>
    <s v="Sophia Taylor"/>
    <s v=" singapore "/>
    <x v="5"/>
    <x v="8"/>
    <x v="3"/>
    <n v="5"/>
    <n v="59"/>
    <n v="30"/>
    <n v="0.1"/>
    <s v="credit card"/>
    <s v="Credit Card"/>
    <s v="Pending"/>
    <s v="Pending"/>
    <s v="Valid"/>
    <s v="sophia.taylor@example.com"/>
    <n v="265.5"/>
    <n v="150"/>
    <x v="14"/>
    <n v="0.43502824858757061"/>
  </r>
  <r>
    <s v="ORD-10054"/>
    <x v="15"/>
    <s v="Ava Thomas"/>
    <s v="Ava Thomas"/>
    <s v="United Arab Emirates"/>
    <x v="0"/>
    <x v="0"/>
    <x v="0"/>
    <n v="2"/>
    <n v="36"/>
    <n v="16"/>
    <n v="0.1"/>
    <s v="Bank Transfer"/>
    <s v="Bank Transfer"/>
    <s v="Completed"/>
    <s v="Completed"/>
    <s v="Valid"/>
    <s v="ava.thomas@example.com"/>
    <n v="64.8"/>
    <n v="32"/>
    <x v="15"/>
    <n v="0.50617283950617287"/>
  </r>
  <r>
    <s v="ORD-10065"/>
    <x v="16"/>
    <s v="Liam Miller"/>
    <s v="Liam Miller"/>
    <s v=" australia"/>
    <x v="1"/>
    <x v="9"/>
    <x v="1"/>
    <n v="1"/>
    <n v="65"/>
    <n v="31"/>
    <n v="0.05"/>
    <s v="credit card"/>
    <s v="Credit Card"/>
    <s v="Completed"/>
    <s v="Completed"/>
    <s v="Valid"/>
    <s v="liam.miller@example.com"/>
    <n v="61.75"/>
    <n v="31"/>
    <x v="16"/>
    <n v="0.49797570850202427"/>
  </r>
  <r>
    <s v="ORD-10072"/>
    <x v="17"/>
    <s v="Lucas Jackson"/>
    <s v="Lucas Jackson"/>
    <s v="USA"/>
    <x v="4"/>
    <x v="9"/>
    <x v="1"/>
    <n v="2"/>
    <n v="65"/>
    <n v="31"/>
    <n v="0.1"/>
    <s v="paypal"/>
    <s v="PayPal"/>
    <s v="Completed"/>
    <s v="Completed"/>
    <s v="Valid"/>
    <s v="lucas.jackson@example.com"/>
    <n v="117"/>
    <n v="62"/>
    <x v="17"/>
    <n v="0.47008547008547008"/>
  </r>
  <r>
    <s v="ORD-10033"/>
    <x v="18"/>
    <s v="Henry Clark"/>
    <s v="Henry Clark"/>
    <s v="US"/>
    <x v="4"/>
    <x v="1"/>
    <x v="1"/>
    <n v="4"/>
    <n v="38"/>
    <n v="17"/>
    <n v="0.15"/>
    <s v="Bank Transfer"/>
    <s v="Bank Transfer"/>
    <s v="Pending"/>
    <s v="Pending"/>
    <s v="Missing"/>
    <m/>
    <n v="129.19999999999999"/>
    <n v="68"/>
    <x v="18"/>
    <n v="0.47368421052631576"/>
  </r>
  <r>
    <s v="ORD-10264"/>
    <x v="19"/>
    <s v="Chloe Lewis"/>
    <s v="Chloe Lewis"/>
    <s v="DE"/>
    <x v="3"/>
    <x v="3"/>
    <x v="2"/>
    <n v="1"/>
    <n v="92"/>
    <n v="53"/>
    <n v="0.2"/>
    <s v="Bank Transfer"/>
    <s v="Bank Transfer"/>
    <s v="Shipped"/>
    <s v="Shipped"/>
    <s v="Valid"/>
    <s v="chloe.lewis@example.com"/>
    <n v="73.600000000000009"/>
    <n v="53"/>
    <x v="19"/>
    <n v="0.27989130434782616"/>
  </r>
  <r>
    <s v="ORD-10210"/>
    <x v="20"/>
    <s v="Chloe Lewis"/>
    <s v="Chloe Lewis"/>
    <s v="United Kingdom"/>
    <x v="2"/>
    <x v="8"/>
    <x v="3"/>
    <n v="4"/>
    <n v="59"/>
    <n v="30"/>
    <n v="0.15"/>
    <s v="credit card"/>
    <s v="Credit Card"/>
    <s v="Completed"/>
    <s v="Completed"/>
    <s v="Missing"/>
    <m/>
    <n v="200.6"/>
    <n v="120"/>
    <x v="20"/>
    <n v="0.40179461615154533"/>
  </r>
  <r>
    <s v="ORD-10274"/>
    <x v="21"/>
    <s v="Ava Thomas"/>
    <s v="Ava Thomas"/>
    <s v="Singapore"/>
    <x v="5"/>
    <x v="4"/>
    <x v="2"/>
    <n v="4"/>
    <n v="78"/>
    <n v="45"/>
    <n v="0.1"/>
    <m/>
    <s v="Unknown"/>
    <s v="Pending"/>
    <s v="Pending"/>
    <s v="Valid"/>
    <s v="ava.thomas@example.com"/>
    <n v="280.8"/>
    <n v="180"/>
    <x v="21"/>
    <n v="0.35897435897435898"/>
  </r>
  <r>
    <s v="ORD-10004"/>
    <x v="22"/>
    <s v="Noah Brown"/>
    <s v="Noah Brown"/>
    <s v="Australia"/>
    <x v="1"/>
    <x v="6"/>
    <x v="1"/>
    <n v="4"/>
    <n v="42"/>
    <n v="21"/>
    <n v="0.05"/>
    <s v="credit card"/>
    <s v="Credit Card"/>
    <s v="Cancelled"/>
    <s v="Cancelled"/>
    <s v="Valid"/>
    <s v="noah.brown@example.com"/>
    <n v="159.6"/>
    <n v="84"/>
    <x v="22"/>
    <n v="0.47368421052631576"/>
  </r>
  <r>
    <s v="ORD-10200"/>
    <x v="23"/>
    <s v="Noah Brown"/>
    <s v="Noah Brown"/>
    <s v="Canada"/>
    <x v="6"/>
    <x v="8"/>
    <x v="3"/>
    <n v="2"/>
    <n v="59"/>
    <n v="30"/>
    <n v="0"/>
    <s v="paypal"/>
    <s v="PayPal"/>
    <s v="Completed"/>
    <s v="Completed"/>
    <s v="Valid"/>
    <s v="noah.brown@example.com"/>
    <n v="118"/>
    <n v="60"/>
    <x v="23"/>
    <n v="0.49152542372881358"/>
  </r>
  <r>
    <s v="ORD-10191"/>
    <x v="24"/>
    <s v="Emma Wilson"/>
    <s v="Emma Wilson"/>
    <s v="US"/>
    <x v="4"/>
    <x v="5"/>
    <x v="3"/>
    <n v="4"/>
    <n v="85"/>
    <n v="44"/>
    <n v="0.05"/>
    <s v="paypal"/>
    <s v="PayPal"/>
    <s v="Cancelled"/>
    <s v="Cancelled"/>
    <s v="Valid"/>
    <s v="emma.wilson@example.com"/>
    <n v="323"/>
    <n v="176"/>
    <x v="24"/>
    <n v="0.45510835913312692"/>
  </r>
  <r>
    <s v="ORD-10266"/>
    <x v="25"/>
    <s v="Henry Clark"/>
    <s v="Henry Clark"/>
    <s v="India"/>
    <x v="7"/>
    <x v="9"/>
    <x v="1"/>
    <n v="1"/>
    <n v="65"/>
    <n v="31"/>
    <n v="0"/>
    <s v="credit card"/>
    <s v="Credit Card"/>
    <s v="Pending"/>
    <s v="Pending"/>
    <s v="Valid"/>
    <s v="henry.clark@example.com"/>
    <n v="65"/>
    <n v="31"/>
    <x v="25"/>
    <n v="0.52307692307692311"/>
  </r>
  <r>
    <s v="ORD-10280"/>
    <x v="26"/>
    <s v="Ella Martin"/>
    <s v="Ella Martin"/>
    <s v=" germany "/>
    <x v="3"/>
    <x v="3"/>
    <x v="2"/>
    <n v="2"/>
    <n v="92"/>
    <n v="53"/>
    <n v="0.05"/>
    <s v="Debit Card"/>
    <s v="Debit Card"/>
    <s v="Shipped"/>
    <s v="Shipped"/>
    <s v="Valid"/>
    <s v="ella.martin@example.com"/>
    <n v="174.79999999999998"/>
    <n v="106"/>
    <x v="26"/>
    <n v="0.39359267734553771"/>
  </r>
  <r>
    <s v="ORD-10209"/>
    <x v="27"/>
    <s v="Olivia Davis"/>
    <s v="Olivia Davis"/>
    <s v="U.K."/>
    <x v="2"/>
    <x v="8"/>
    <x v="3"/>
    <n v="5"/>
    <n v="59"/>
    <n v="30"/>
    <n v="0.2"/>
    <s v="credit card"/>
    <s v="Credit Card"/>
    <s v="Completed"/>
    <s v="Completed"/>
    <s v="Valid"/>
    <s v="olivia.davis@example.com"/>
    <n v="236"/>
    <n v="150"/>
    <x v="27"/>
    <n v="0.36440677966101692"/>
  </r>
  <r>
    <s v="ORD-10028"/>
    <x v="28"/>
    <s v=" olivia davis "/>
    <s v="Olivia Davis"/>
    <s v="Germany"/>
    <x v="3"/>
    <x v="2"/>
    <x v="1"/>
    <n v="4"/>
    <n v="18"/>
    <n v="7"/>
    <n v="0.1"/>
    <s v="Debit Card"/>
    <s v="Debit Card"/>
    <s v="Completed"/>
    <s v="Completed"/>
    <s v="Valid"/>
    <s v="olivia.davis@example.com"/>
    <n v="64.8"/>
    <n v="28"/>
    <x v="28"/>
    <n v="0.5679012345679012"/>
  </r>
  <r>
    <s v="ORD-10211"/>
    <x v="29"/>
    <s v="Benjamin Walker"/>
    <s v="Benjamin Walker"/>
    <s v=" united kingdom"/>
    <x v="2"/>
    <x v="5"/>
    <x v="3"/>
    <n v="5"/>
    <n v="85"/>
    <n v="44"/>
    <n v="0.2"/>
    <s v="credit card"/>
    <s v="Credit Card"/>
    <s v="Completed"/>
    <s v="Completed"/>
    <s v="Valid"/>
    <s v="benjamin.walker@example.com"/>
    <n v="340"/>
    <n v="220"/>
    <x v="29"/>
    <n v="0.35294117647058826"/>
  </r>
  <r>
    <s v="ORD-10372"/>
    <x v="30"/>
    <s v=" grace moore "/>
    <s v="Grace Moore"/>
    <s v="Singapore"/>
    <x v="5"/>
    <x v="0"/>
    <x v="0"/>
    <n v="1"/>
    <n v="36"/>
    <n v="16"/>
    <n v="0.1"/>
    <s v="paypal"/>
    <s v="PayPal"/>
    <s v="Completed"/>
    <s v="Completed"/>
    <s v="Valid"/>
    <s v="grace.moore@example.com"/>
    <n v="32.4"/>
    <n v="16"/>
    <x v="30"/>
    <n v="0.50617283950617287"/>
  </r>
  <r>
    <s v="ORD-10306"/>
    <x v="31"/>
    <s v="Benjamin Walker"/>
    <s v="Benjamin Walker"/>
    <s v="US"/>
    <x v="4"/>
    <x v="7"/>
    <x v="0"/>
    <n v="4"/>
    <n v="210"/>
    <n v="125"/>
    <n v="0.05"/>
    <s v="paypal"/>
    <s v="PayPal"/>
    <s v="Completed"/>
    <s v="Completed"/>
    <s v="Valid"/>
    <s v="benjamin.walker@example.com"/>
    <n v="798"/>
    <n v="500"/>
    <x v="31"/>
    <n v="0.37343358395989973"/>
  </r>
  <r>
    <s v="ORD-10444"/>
    <x v="32"/>
    <s v="Ella Martin"/>
    <s v="Ella Martin"/>
    <s v="Australia"/>
    <x v="1"/>
    <x v="10"/>
    <x v="3"/>
    <n v="3"/>
    <n v="245"/>
    <n v="150"/>
    <n v="0.1"/>
    <s v="Bank Transfer"/>
    <s v="Bank Transfer"/>
    <s v="Cancelled"/>
    <s v="Cancelled"/>
    <s v="Valid"/>
    <s v="ella.martin@example.com"/>
    <n v="661.5"/>
    <n v="450"/>
    <x v="32"/>
    <n v="0.31972789115646261"/>
  </r>
  <r>
    <s v="ORD-10201"/>
    <x v="33"/>
    <s v="Alex Morgan"/>
    <s v="Alex Morgan"/>
    <s v="US"/>
    <x v="4"/>
    <x v="5"/>
    <x v="3"/>
    <n v="4"/>
    <n v="85"/>
    <n v="44"/>
    <n v="0.05"/>
    <s v="credit card"/>
    <s v="Credit Card"/>
    <s v="Pending"/>
    <s v="Pending"/>
    <s v="Valid"/>
    <s v="alex.morgan@example.com"/>
    <n v="323"/>
    <n v="176"/>
    <x v="24"/>
    <n v="0.45510835913312692"/>
  </r>
  <r>
    <s v="ORD-10223"/>
    <x v="34"/>
    <s v="Ethan Anderson"/>
    <s v="Ethan Anderson"/>
    <s v="India"/>
    <x v="7"/>
    <x v="2"/>
    <x v="1"/>
    <n v="3"/>
    <n v="18"/>
    <n v="7"/>
    <n v="0"/>
    <s v="paypal"/>
    <s v="PayPal"/>
    <s v="Cancelled"/>
    <s v="Cancelled"/>
    <s v="Valid"/>
    <s v="ethan.anderson@example.com"/>
    <n v="54"/>
    <n v="21"/>
    <x v="33"/>
    <n v="0.61111111111111116"/>
  </r>
  <r>
    <s v="ORD-10379"/>
    <x v="35"/>
    <s v="Mia White"/>
    <s v="Mia White"/>
    <s v=" india "/>
    <x v="7"/>
    <x v="7"/>
    <x v="0"/>
    <n v="2"/>
    <n v="210"/>
    <n v="125"/>
    <n v="0.15"/>
    <s v="paypal"/>
    <s v="PayPal"/>
    <s v="Shipped"/>
    <s v="Shipped"/>
    <s v="Valid"/>
    <s v="mia.white@example.com"/>
    <n v="357"/>
    <n v="250"/>
    <x v="34"/>
    <n v="0.29971988795518206"/>
  </r>
  <r>
    <s v="ORD-10141"/>
    <x v="36"/>
    <s v="James Thompson"/>
    <s v="James Thompson"/>
    <s v="Singapore"/>
    <x v="5"/>
    <x v="10"/>
    <x v="3"/>
    <n v="2"/>
    <n v="245"/>
    <n v="150"/>
    <n v="0.1"/>
    <s v="paypal"/>
    <s v="PayPal"/>
    <s v="Completed"/>
    <s v="Completed"/>
    <s v="Invalid"/>
    <s v="james.thompson@example"/>
    <n v="441"/>
    <n v="300"/>
    <x v="35"/>
    <n v="0.31972789115646261"/>
  </r>
  <r>
    <s v="ORD-10149"/>
    <x v="37"/>
    <s v="Ethan Anderson"/>
    <s v="Ethan Anderson"/>
    <s v="IN"/>
    <x v="7"/>
    <x v="8"/>
    <x v="3"/>
    <n v="3"/>
    <n v="59"/>
    <n v="30"/>
    <n v="0.15"/>
    <s v="paypal"/>
    <s v="PayPal"/>
    <s v="Shipped"/>
    <s v="Shipped"/>
    <s v="Valid"/>
    <s v="ethan.anderson@example.com"/>
    <n v="150.44999999999999"/>
    <n v="90"/>
    <x v="36"/>
    <n v="0.40179461615154533"/>
  </r>
  <r>
    <s v="ORD-10546"/>
    <x v="38"/>
    <s v="Benjamin Walker"/>
    <s v="Benjamin Walker"/>
    <s v="United Arab Emirates"/>
    <x v="0"/>
    <x v="1"/>
    <x v="1"/>
    <n v="5"/>
    <n v="38"/>
    <n v="17"/>
    <n v="0.15"/>
    <s v="paypal"/>
    <s v="PayPal"/>
    <s v="Completed"/>
    <s v="Completed"/>
    <s v="Valid"/>
    <s v="benjamin.walker@example.com"/>
    <n v="161.5"/>
    <n v="85"/>
    <x v="37"/>
    <n v="0.47368421052631576"/>
  </r>
  <r>
    <s v="ORD-10272"/>
    <x v="39"/>
    <s v="Ethan Anderson"/>
    <s v="Ethan Anderson"/>
    <s v=" germany "/>
    <x v="3"/>
    <x v="10"/>
    <x v="3"/>
    <n v="1"/>
    <n v="245"/>
    <n v="150"/>
    <n v="0.05"/>
    <s v="Bank Transfer"/>
    <s v="Bank Transfer"/>
    <s v="Cancelled"/>
    <s v="Cancelled"/>
    <s v="Valid"/>
    <s v="ethan.anderson@example.com"/>
    <n v="232.75"/>
    <n v="150"/>
    <x v="38"/>
    <n v="0.35553168635875404"/>
  </r>
  <r>
    <s v="ORD-10535"/>
    <x v="40"/>
    <s v="Ava Thomas"/>
    <s v="Ava Thomas"/>
    <s v="India"/>
    <x v="7"/>
    <x v="5"/>
    <x v="3"/>
    <n v="4"/>
    <n v="85"/>
    <n v="44"/>
    <n v="0"/>
    <s v="paypal"/>
    <s v="PayPal"/>
    <s v="Cancelled"/>
    <s v="Cancelled"/>
    <s v="Valid"/>
    <s v="ava.thomas@example.com"/>
    <n v="340"/>
    <n v="176"/>
    <x v="7"/>
    <n v="0.4823529411764706"/>
  </r>
  <r>
    <s v="ORD-10164"/>
    <x v="41"/>
    <s v="James Thompson"/>
    <s v="James Thompson"/>
    <s v="Singapore"/>
    <x v="5"/>
    <x v="9"/>
    <x v="1"/>
    <n v="5"/>
    <n v="65"/>
    <n v="31"/>
    <n v="0.15"/>
    <s v="paypal"/>
    <s v="PayPal"/>
    <s v="Cancelled"/>
    <s v="Cancelled"/>
    <s v="Valid"/>
    <s v="james.thompson@example.com"/>
    <n v="276.25"/>
    <n v="155"/>
    <x v="39"/>
    <n v="0.43891402714932126"/>
  </r>
  <r>
    <s v="ORD-10236"/>
    <x v="42"/>
    <s v="Olivia Davis"/>
    <s v="Olivia Davis"/>
    <s v="Singapore"/>
    <x v="5"/>
    <x v="11"/>
    <x v="3"/>
    <n v="2"/>
    <n v="175"/>
    <n v="105"/>
    <n v="0.15"/>
    <s v="Debit Card"/>
    <s v="Debit Card"/>
    <s v="Pending"/>
    <s v="Pending"/>
    <s v="Valid"/>
    <s v="olivia.davis@example.com"/>
    <n v="297.5"/>
    <n v="210"/>
    <x v="40"/>
    <n v="0.29411764705882354"/>
  </r>
  <r>
    <s v="ORD-10145"/>
    <x v="39"/>
    <s v="Benjamin Walker"/>
    <s v="Benjamin Walker"/>
    <s v=" united kingdom"/>
    <x v="2"/>
    <x v="4"/>
    <x v="2"/>
    <n v="2"/>
    <n v="78"/>
    <n v="45"/>
    <n v="0.2"/>
    <s v="credit card"/>
    <s v="Credit Card"/>
    <s v="Cancelled"/>
    <s v="Cancelled"/>
    <s v="Valid"/>
    <s v="benjamin.walker@example.com"/>
    <n v="124.80000000000001"/>
    <n v="90"/>
    <x v="41"/>
    <n v="0.27884615384615391"/>
  </r>
  <r>
    <s v="ORD-10175"/>
    <x v="43"/>
    <s v="Emma Wilson"/>
    <s v="Emma Wilson"/>
    <s v="DE"/>
    <x v="3"/>
    <x v="8"/>
    <x v="3"/>
    <n v="1"/>
    <n v="59"/>
    <n v="30"/>
    <n v="0"/>
    <s v="Bank Transfer"/>
    <s v="Bank Transfer"/>
    <s v="Pending"/>
    <s v="Pending"/>
    <s v="Valid"/>
    <s v="emma.wilson@example.com"/>
    <n v="59"/>
    <n v="30"/>
    <x v="42"/>
    <n v="0.49152542372881358"/>
  </r>
  <r>
    <s v="ORD-10031"/>
    <x v="44"/>
    <s v="Mia White"/>
    <s v="Mia White"/>
    <s v=" united kingdom"/>
    <x v="2"/>
    <x v="10"/>
    <x v="3"/>
    <n v="2"/>
    <n v="245"/>
    <n v="150"/>
    <n v="0"/>
    <s v="credit card"/>
    <s v="Credit Card"/>
    <s v="Completed"/>
    <s v="Completed"/>
    <s v="Valid"/>
    <s v="mia.white@example.com"/>
    <n v="490"/>
    <n v="300"/>
    <x v="43"/>
    <n v="0.38775510204081631"/>
  </r>
  <r>
    <s v="ORD-10400"/>
    <x v="45"/>
    <s v="Henry Clark"/>
    <s v="Henry Clark"/>
    <s v=" canada "/>
    <x v="6"/>
    <x v="4"/>
    <x v="2"/>
    <n v="5"/>
    <n v="78"/>
    <n v="45"/>
    <n v="0.05"/>
    <s v="Bank Transfer"/>
    <s v="Bank Transfer"/>
    <s v="Completed"/>
    <s v="Completed"/>
    <s v="Invalid"/>
    <s v="henry.clark@example"/>
    <n v="370.5"/>
    <n v="225"/>
    <x v="44"/>
    <n v="0.39271255060728744"/>
  </r>
  <r>
    <s v="ORD-10104"/>
    <x v="46"/>
    <s v=" alex morgan "/>
    <s v="Alex Morgan"/>
    <s v="United Kingdom"/>
    <x v="2"/>
    <x v="4"/>
    <x v="2"/>
    <n v="3"/>
    <n v="78"/>
    <n v="45"/>
    <n v="0.1"/>
    <s v="credit card"/>
    <s v="Credit Card"/>
    <s v="Completed"/>
    <s v="Completed"/>
    <s v="Valid"/>
    <s v="alex.morgan@example.com"/>
    <n v="210.6"/>
    <n v="135"/>
    <x v="22"/>
    <n v="0.35897435897435898"/>
  </r>
  <r>
    <s v="ORD-10435"/>
    <x v="47"/>
    <s v="Noah Brown"/>
    <s v="Noah Brown"/>
    <s v="AUS"/>
    <x v="1"/>
    <x v="3"/>
    <x v="2"/>
    <n v="4"/>
    <n v="92"/>
    <n v="53"/>
    <n v="0.2"/>
    <s v="Debit Card"/>
    <s v="Debit Card"/>
    <s v="Completed"/>
    <s v="Completed"/>
    <s v="Valid"/>
    <s v="noah.brown@example.com"/>
    <n v="294.40000000000003"/>
    <n v="212"/>
    <x v="45"/>
    <n v="0.27989130434782616"/>
  </r>
  <r>
    <s v="ORD-10262"/>
    <x v="48"/>
    <s v="Sophia Taylor"/>
    <s v="Sophia Taylor"/>
    <s v="Canada"/>
    <x v="6"/>
    <x v="0"/>
    <x v="0"/>
    <n v="4"/>
    <n v="36"/>
    <n v="16"/>
    <n v="0"/>
    <s v="paypal"/>
    <s v="PayPal"/>
    <s v="Completed"/>
    <s v="Completed"/>
    <s v="Valid"/>
    <s v="sophia.taylor@example.com"/>
    <n v="144"/>
    <n v="64"/>
    <x v="13"/>
    <n v="0.55555555555555558"/>
  </r>
  <r>
    <s v="ORD-10050"/>
    <x v="49"/>
    <s v="Daniel Harris"/>
    <s v="Daniel Harris"/>
    <s v=" uae "/>
    <x v="0"/>
    <x v="11"/>
    <x v="3"/>
    <n v="2"/>
    <n v="175"/>
    <n v="105"/>
    <n v="0.05"/>
    <s v="credit card"/>
    <s v="Credit Card"/>
    <s v="Shipped"/>
    <s v="Shipped"/>
    <s v="Valid"/>
    <s v="daniel.harris@example.com"/>
    <n v="332.5"/>
    <n v="210"/>
    <x v="46"/>
    <n v="0.36842105263157893"/>
  </r>
  <r>
    <s v="ORD-10112"/>
    <x v="50"/>
    <s v="Mia White"/>
    <s v="Mia White"/>
    <s v="CAN"/>
    <x v="6"/>
    <x v="8"/>
    <x v="3"/>
    <n v="2"/>
    <n v="59"/>
    <n v="30"/>
    <n v="0.05"/>
    <s v="credit card"/>
    <s v="Credit Card"/>
    <s v="Completed"/>
    <s v="Completed"/>
    <s v="Valid"/>
    <s v="mia.white@example.com"/>
    <n v="112.1"/>
    <n v="60"/>
    <x v="47"/>
    <n v="0.46476360392506688"/>
  </r>
  <r>
    <s v="ORD-10467"/>
    <x v="51"/>
    <s v="Liam Miller"/>
    <s v="Liam Miller"/>
    <s v="DE"/>
    <x v="3"/>
    <x v="0"/>
    <x v="0"/>
    <n v="2"/>
    <n v="36"/>
    <n v="16"/>
    <n v="0.1"/>
    <s v="Debit Card"/>
    <s v="Debit Card"/>
    <s v="Pending"/>
    <s v="Pending"/>
    <s v="Valid"/>
    <s v="liam.miller@example.com"/>
    <n v="64.8"/>
    <n v="32"/>
    <x v="15"/>
    <n v="0.50617283950617287"/>
  </r>
  <r>
    <s v="ORD-10137"/>
    <x v="52"/>
    <s v="James Thompson"/>
    <s v="James Thompson"/>
    <s v=" india "/>
    <x v="7"/>
    <x v="6"/>
    <x v="1"/>
    <n v="2"/>
    <n v="42"/>
    <n v="21"/>
    <n v="0.05"/>
    <s v="Debit Card"/>
    <s v="Debit Card"/>
    <s v="Completed"/>
    <s v="Completed"/>
    <s v="Valid"/>
    <s v="james.thompson@example.com"/>
    <n v="79.8"/>
    <n v="42"/>
    <x v="48"/>
    <n v="0.47368421052631576"/>
  </r>
  <r>
    <s v="ORD-10283"/>
    <x v="53"/>
    <s v="Ella Martin"/>
    <s v="Ella Martin"/>
    <s v="India"/>
    <x v="7"/>
    <x v="8"/>
    <x v="3"/>
    <n v="2"/>
    <n v="59"/>
    <n v="30"/>
    <n v="0.15"/>
    <s v="credit card"/>
    <s v="Credit Card"/>
    <s v="Shipped"/>
    <s v="Shipped"/>
    <s v="Valid"/>
    <s v="ella.martin@example.com"/>
    <n v="100.3"/>
    <n v="60"/>
    <x v="49"/>
    <n v="0.40179461615154533"/>
  </r>
  <r>
    <s v="ORD-10516"/>
    <x v="54"/>
    <s v="Lily Hall"/>
    <s v="Lily Hall"/>
    <s v=" singapore "/>
    <x v="5"/>
    <x v="5"/>
    <x v="3"/>
    <n v="5"/>
    <n v="85"/>
    <n v="44"/>
    <n v="0.15"/>
    <s v="Debit Card"/>
    <s v="Debit Card"/>
    <s v="Pending"/>
    <s v="Pending"/>
    <s v="Valid"/>
    <s v="lily.hall@example.com"/>
    <n v="361.25"/>
    <n v="220"/>
    <x v="50"/>
    <n v="0.39100346020761245"/>
  </r>
  <r>
    <s v="ORD-10349"/>
    <x v="0"/>
    <s v="Daniel Harris"/>
    <s v="Daniel Harris"/>
    <s v="India"/>
    <x v="7"/>
    <x v="1"/>
    <x v="1"/>
    <n v="4"/>
    <n v="38"/>
    <n v="17"/>
    <n v="0.05"/>
    <s v="credit card"/>
    <s v="Credit Card"/>
    <s v="Completed"/>
    <s v="Completed"/>
    <s v="Valid"/>
    <s v="daniel.harris@example.com"/>
    <n v="144.4"/>
    <n v="68"/>
    <x v="51"/>
    <n v="0.52908587257617734"/>
  </r>
  <r>
    <s v="ORD-10404"/>
    <x v="55"/>
    <s v="Ella Martin"/>
    <s v="Ella Martin"/>
    <s v="Germany"/>
    <x v="3"/>
    <x v="0"/>
    <x v="0"/>
    <n v="3"/>
    <n v="36"/>
    <n v="16"/>
    <n v="0.05"/>
    <s v="paypal"/>
    <s v="PayPal"/>
    <s v="Completed"/>
    <s v="Completed"/>
    <s v="Valid"/>
    <s v="ella.martin@example.com"/>
    <n v="102.6"/>
    <n v="48"/>
    <x v="52"/>
    <n v="0.53216374269005851"/>
  </r>
  <r>
    <s v="ORD-10347"/>
    <x v="56"/>
    <s v=" benjamin walker "/>
    <s v="Benjamin Walker"/>
    <s v="UK"/>
    <x v="2"/>
    <x v="11"/>
    <x v="3"/>
    <n v="5"/>
    <n v="175"/>
    <n v="105"/>
    <n v="0.15"/>
    <s v="credit card"/>
    <s v="Credit Card"/>
    <s v="Cancelled"/>
    <s v="Cancelled"/>
    <s v="Valid"/>
    <s v="benjamin.walker@example.com"/>
    <n v="743.75"/>
    <n v="525"/>
    <x v="53"/>
    <n v="0.29411764705882354"/>
  </r>
  <r>
    <s v="ORD-10167"/>
    <x v="57"/>
    <s v="Daniel Harris"/>
    <s v="Daniel Harris"/>
    <s v=" australia"/>
    <x v="1"/>
    <x v="8"/>
    <x v="3"/>
    <n v="3"/>
    <n v="59"/>
    <n v="30"/>
    <n v="0.15"/>
    <s v="credit card"/>
    <s v="Credit Card"/>
    <s v="Cancelled"/>
    <s v="Cancelled"/>
    <s v="Valid"/>
    <s v="daniel.harris@example.com"/>
    <n v="150.44999999999999"/>
    <n v="90"/>
    <x v="36"/>
    <n v="0.40179461615154533"/>
  </r>
  <r>
    <s v="ORD-10277"/>
    <x v="58"/>
    <s v="Lucas Jackson"/>
    <s v="Lucas Jackson"/>
    <m/>
    <x v="8"/>
    <x v="7"/>
    <x v="0"/>
    <n v="2"/>
    <n v="210"/>
    <n v="125"/>
    <n v="0.05"/>
    <s v="Debit Card"/>
    <s v="Debit Card"/>
    <s v="Completed"/>
    <s v="Completed"/>
    <s v="Valid"/>
    <s v="lucas.jackson@example.com"/>
    <n v="399"/>
    <n v="250"/>
    <x v="54"/>
    <n v="0.37343358395989973"/>
  </r>
  <r>
    <s v="ORD-10003"/>
    <x v="59"/>
    <s v=" ella martin "/>
    <s v="Ella Martin"/>
    <s v=" australia"/>
    <x v="1"/>
    <x v="2"/>
    <x v="1"/>
    <n v="2"/>
    <n v="18"/>
    <n v="7"/>
    <n v="0.05"/>
    <s v="Debit Card"/>
    <s v="Debit Card"/>
    <s v="Completed"/>
    <s v="Completed"/>
    <s v="Valid"/>
    <s v="ella.martin@example.com"/>
    <n v="34.199999999999996"/>
    <n v="14"/>
    <x v="55"/>
    <n v="0.59064327485380108"/>
  </r>
  <r>
    <s v="ORD-10103"/>
    <x v="43"/>
    <s v="Sophia Taylor"/>
    <s v="Sophia Taylor"/>
    <s v=" australia"/>
    <x v="1"/>
    <x v="5"/>
    <x v="3"/>
    <n v="1"/>
    <n v="85"/>
    <n v="44"/>
    <n v="0.05"/>
    <s v="credit card"/>
    <s v="Credit Card"/>
    <s v="Completed"/>
    <s v="Completed"/>
    <s v="Valid"/>
    <s v="sophia.taylor@example.com"/>
    <n v="80.75"/>
    <n v="44"/>
    <x v="56"/>
    <n v="0.45510835913312692"/>
  </r>
  <r>
    <s v="ORD-10248"/>
    <x v="60"/>
    <s v="Olivia Davis"/>
    <s v="Olivia Davis"/>
    <s v="IN"/>
    <x v="7"/>
    <x v="10"/>
    <x v="3"/>
    <n v="4"/>
    <n v="245"/>
    <n v="150"/>
    <n v="0.1"/>
    <s v="paypal"/>
    <s v="PayPal"/>
    <s v="Completed"/>
    <s v="Completed"/>
    <s v="Valid"/>
    <s v="olivia.davis@example.com"/>
    <n v="882"/>
    <n v="600"/>
    <x v="57"/>
    <n v="0.31972789115646261"/>
  </r>
  <r>
    <s v="ORD-10156"/>
    <x v="61"/>
    <s v="Lily Hall"/>
    <s v="Lily Hall"/>
    <s v="U.K."/>
    <x v="2"/>
    <x v="3"/>
    <x v="2"/>
    <n v="4"/>
    <n v="92"/>
    <n v="53"/>
    <n v="0.15"/>
    <s v="Bank Transfer"/>
    <s v="Bank Transfer"/>
    <s v="Pending"/>
    <s v="Pending"/>
    <s v="Valid"/>
    <s v="lily.hall@example.com"/>
    <n v="312.8"/>
    <n v="212"/>
    <x v="21"/>
    <n v="0.32225063938618931"/>
  </r>
  <r>
    <s v="ORD-10434"/>
    <x v="62"/>
    <s v="Benjamin Walker"/>
    <s v="Benjamin Walker"/>
    <s v="Canada"/>
    <x v="6"/>
    <x v="8"/>
    <x v="3"/>
    <n v="4"/>
    <n v="59"/>
    <n v="30"/>
    <n v="0.1"/>
    <s v="Debit Card"/>
    <s v="Debit Card"/>
    <s v="Cancelled"/>
    <s v="Cancelled"/>
    <s v="Valid"/>
    <s v="benjamin.walker@example.com"/>
    <n v="212.4"/>
    <n v="120"/>
    <x v="58"/>
    <n v="0.43502824858757061"/>
  </r>
  <r>
    <s v="ORD-10047"/>
    <x v="61"/>
    <s v="Benjamin Walker"/>
    <s v="Benjamin Walker"/>
    <s v="US"/>
    <x v="4"/>
    <x v="11"/>
    <x v="3"/>
    <n v="3"/>
    <n v="175"/>
    <n v="105"/>
    <n v="0"/>
    <s v="paypal"/>
    <s v="PayPal"/>
    <s v="Completed"/>
    <s v="Completed"/>
    <s v="Valid"/>
    <s v="benjamin.walker@example.com"/>
    <n v="525"/>
    <n v="315"/>
    <x v="59"/>
    <n v="0.4"/>
  </r>
  <r>
    <s v="ORD-10263"/>
    <x v="63"/>
    <s v="Noah Brown"/>
    <s v="Noah Brown"/>
    <s v="AUS"/>
    <x v="1"/>
    <x v="10"/>
    <x v="3"/>
    <n v="1"/>
    <n v="245"/>
    <n v="150"/>
    <n v="0.1"/>
    <s v="credit card"/>
    <s v="Credit Card"/>
    <s v="Pending"/>
    <s v="Pending"/>
    <s v="Valid"/>
    <s v="noah.brown@example.com"/>
    <n v="220.5"/>
    <n v="150"/>
    <x v="60"/>
    <n v="0.31972789115646261"/>
  </r>
  <r>
    <s v="ORD-10133"/>
    <x v="64"/>
    <s v=" henry clark "/>
    <s v="Henry Clark"/>
    <s v="UAE"/>
    <x v="0"/>
    <x v="6"/>
    <x v="1"/>
    <n v="5"/>
    <n v="42"/>
    <n v="21"/>
    <n v="0"/>
    <s v="credit card"/>
    <s v="Credit Card"/>
    <s v="Pending"/>
    <s v="Pending"/>
    <s v="Missing"/>
    <m/>
    <n v="210"/>
    <n v="105"/>
    <x v="61"/>
    <n v="0.5"/>
  </r>
  <r>
    <s v="ORD-10492"/>
    <x v="65"/>
    <s v="Chloe Lewis"/>
    <s v="Chloe Lewis"/>
    <s v=" canada "/>
    <x v="6"/>
    <x v="11"/>
    <x v="3"/>
    <n v="5"/>
    <n v="175"/>
    <n v="105"/>
    <n v="0.05"/>
    <s v="Bank Transfer"/>
    <s v="Bank Transfer"/>
    <s v="Pending"/>
    <s v="Pending"/>
    <s v="Valid"/>
    <s v="chloe.lewis@example.com"/>
    <n v="831.25"/>
    <n v="525"/>
    <x v="62"/>
    <n v="0.36842105263157893"/>
  </r>
  <r>
    <s v="ORD-10352"/>
    <x v="66"/>
    <s v=" liam miller "/>
    <s v="Liam Miller"/>
    <s v=" australia"/>
    <x v="1"/>
    <x v="1"/>
    <x v="1"/>
    <n v="2"/>
    <n v="38"/>
    <n v="17"/>
    <n v="0.15"/>
    <s v="paypal"/>
    <s v="PayPal"/>
    <s v="Completed"/>
    <s v="Completed"/>
    <s v="Valid"/>
    <s v="liam.miller@example.com"/>
    <n v="64.599999999999994"/>
    <n v="34"/>
    <x v="63"/>
    <n v="0.47368421052631576"/>
  </r>
  <r>
    <s v="ORD-10142"/>
    <x v="67"/>
    <s v="Liam Miller"/>
    <s v="Liam Miller"/>
    <s v=" singapore "/>
    <x v="5"/>
    <x v="9"/>
    <x v="1"/>
    <n v="4"/>
    <n v="65"/>
    <n v="31"/>
    <n v="0.1"/>
    <s v="Debit Card"/>
    <s v="Debit Card"/>
    <s v="Shipped"/>
    <s v="Shipped"/>
    <s v="Valid"/>
    <s v="liam.miller@example.com"/>
    <n v="234"/>
    <n v="124"/>
    <x v="64"/>
    <n v="0.47008547008547008"/>
  </r>
  <r>
    <s v="ORD-10212"/>
    <x v="68"/>
    <s v="Ava Thomas"/>
    <s v="Ava Thomas"/>
    <s v="United Kingdom"/>
    <x v="2"/>
    <x v="2"/>
    <x v="1"/>
    <n v="2"/>
    <n v="18"/>
    <n v="7"/>
    <n v="0"/>
    <s v="Bank Transfer"/>
    <s v="Bank Transfer"/>
    <s v="Completed"/>
    <s v="Completed"/>
    <s v="Valid"/>
    <s v="ava.thomas@example.com"/>
    <n v="36"/>
    <n v="14"/>
    <x v="65"/>
    <n v="0.61111111111111116"/>
  </r>
  <r>
    <s v="ORD-10114"/>
    <x v="33"/>
    <s v=" grace moore "/>
    <s v="Grace Moore"/>
    <s v=" germany "/>
    <x v="3"/>
    <x v="4"/>
    <x v="2"/>
    <n v="1"/>
    <n v="78"/>
    <n v="45"/>
    <n v="0.05"/>
    <s v="credit card"/>
    <s v="Credit Card"/>
    <s v="Completed"/>
    <s v="Completed"/>
    <s v="Valid"/>
    <s v="grace.moore@example.com"/>
    <n v="74.099999999999994"/>
    <n v="45"/>
    <x v="66"/>
    <n v="0.39271255060728738"/>
  </r>
  <r>
    <s v="ORD-10018"/>
    <x v="69"/>
    <s v="Alex Morgan"/>
    <s v="Alex Morgan"/>
    <s v="AUS"/>
    <x v="1"/>
    <x v="9"/>
    <x v="1"/>
    <n v="5"/>
    <n v="65"/>
    <n v="31"/>
    <n v="0"/>
    <s v="Debit Card"/>
    <s v="Debit Card"/>
    <s v="Cancelled"/>
    <s v="Cancelled"/>
    <s v="Valid"/>
    <s v="alex.morgan@example.com"/>
    <n v="325"/>
    <n v="155"/>
    <x v="67"/>
    <n v="0.52307692307692311"/>
  </r>
  <r>
    <s v="ORD-10196"/>
    <x v="70"/>
    <s v="Ella Martin"/>
    <s v="Ella Martin"/>
    <s v=" singapore "/>
    <x v="5"/>
    <x v="10"/>
    <x v="3"/>
    <n v="1"/>
    <n v="245"/>
    <n v="150"/>
    <n v="0.05"/>
    <s v="paypal"/>
    <s v="PayPal"/>
    <s v="Cancelled"/>
    <s v="Cancelled"/>
    <s v="Valid"/>
    <s v="ella.martin@example.com"/>
    <n v="232.75"/>
    <n v="150"/>
    <x v="38"/>
    <n v="0.35553168635875404"/>
  </r>
  <r>
    <s v="ORD-10168"/>
    <x v="71"/>
    <s v="Lily Hall"/>
    <s v="Lily Hall"/>
    <s v=" australia"/>
    <x v="1"/>
    <x v="5"/>
    <x v="3"/>
    <n v="3"/>
    <n v="85"/>
    <n v="44"/>
    <n v="0"/>
    <s v="paypal"/>
    <s v="PayPal"/>
    <s v="Shipped"/>
    <s v="Shipped"/>
    <s v="Invalid"/>
    <s v="lily.hall@example"/>
    <n v="255"/>
    <n v="132"/>
    <x v="12"/>
    <n v="0.4823529411764706"/>
  </r>
  <r>
    <s v="ORD-10307"/>
    <x v="72"/>
    <s v="Ella Martin"/>
    <s v="Ella Martin"/>
    <s v="U.K."/>
    <x v="2"/>
    <x v="10"/>
    <x v="3"/>
    <n v="1"/>
    <n v="245"/>
    <n v="150"/>
    <n v="0"/>
    <s v="Bank Transfer"/>
    <s v="Bank Transfer"/>
    <s v="Shipped"/>
    <s v="Shipped"/>
    <s v="Valid"/>
    <s v="ella.martin@example.com"/>
    <n v="245"/>
    <n v="150"/>
    <x v="68"/>
    <n v="0.38775510204081631"/>
  </r>
  <r>
    <s v="ORD-10153"/>
    <x v="73"/>
    <s v="Mia White"/>
    <s v="Mia White"/>
    <s v="United States"/>
    <x v="4"/>
    <x v="0"/>
    <x v="0"/>
    <n v="4"/>
    <n v="36"/>
    <n v="16"/>
    <n v="0.1"/>
    <s v="credit card"/>
    <s v="Credit Card"/>
    <s v="Shipped"/>
    <s v="Shipped"/>
    <s v="Valid"/>
    <s v="mia.white@example.com"/>
    <n v="129.6"/>
    <n v="64"/>
    <x v="69"/>
    <n v="0.50617283950617287"/>
  </r>
  <r>
    <s v="ORD-10378"/>
    <x v="74"/>
    <s v="Sophia Taylor"/>
    <s v="Sophia Taylor"/>
    <s v="Singapore"/>
    <x v="5"/>
    <x v="2"/>
    <x v="1"/>
    <n v="5"/>
    <n v="18"/>
    <n v="7"/>
    <n v="0.1"/>
    <s v="paypal"/>
    <s v="PayPal"/>
    <s v="Pending"/>
    <s v="Pending"/>
    <s v="Valid"/>
    <s v="sophia.taylor@example.com"/>
    <n v="81"/>
    <n v="35"/>
    <x v="70"/>
    <n v="0.5679012345679012"/>
  </r>
  <r>
    <s v="ORD-10532"/>
    <x v="75"/>
    <s v="Liam Miller"/>
    <s v="Liam Miller"/>
    <s v="USA"/>
    <x v="4"/>
    <x v="6"/>
    <x v="1"/>
    <n v="4"/>
    <n v="42"/>
    <n v="21"/>
    <n v="0.1"/>
    <s v="credit card"/>
    <s v="Credit Card"/>
    <s v="Completed"/>
    <s v="Completed"/>
    <s v="Valid"/>
    <s v="liam.miller@example.com"/>
    <n v="151.20000000000002"/>
    <n v="84"/>
    <x v="71"/>
    <n v="0.44444444444444453"/>
  </r>
  <r>
    <s v="ORD-10363"/>
    <x v="46"/>
    <s v="Grace Moore"/>
    <s v="Grace Moore"/>
    <s v="UK"/>
    <x v="2"/>
    <x v="2"/>
    <x v="1"/>
    <n v="4"/>
    <n v="18"/>
    <n v="7"/>
    <n v="0.1"/>
    <m/>
    <s v="Unknown"/>
    <s v="Pending"/>
    <s v="Pending"/>
    <s v="Valid"/>
    <s v="grace.moore@example.com"/>
    <n v="64.8"/>
    <n v="28"/>
    <x v="28"/>
    <n v="0.5679012345679012"/>
  </r>
  <r>
    <s v="ORD-10119"/>
    <x v="76"/>
    <s v="Mia White"/>
    <s v="Mia White"/>
    <s v=" canada "/>
    <x v="6"/>
    <x v="7"/>
    <x v="0"/>
    <n v="1"/>
    <n v="210"/>
    <n v="125"/>
    <n v="0"/>
    <s v="paypal"/>
    <s v="PayPal"/>
    <s v="Shipped"/>
    <s v="Shipped"/>
    <s v="Valid"/>
    <s v="mia.white@example.com"/>
    <n v="210"/>
    <n v="125"/>
    <x v="72"/>
    <n v="0.40476190476190477"/>
  </r>
  <r>
    <s v="ORD-10317"/>
    <x v="77"/>
    <s v="Sophia Taylor"/>
    <s v="Sophia Taylor"/>
    <s v="DE"/>
    <x v="3"/>
    <x v="10"/>
    <x v="3"/>
    <n v="3"/>
    <n v="245"/>
    <n v="150"/>
    <n v="0.15"/>
    <s v="credit card"/>
    <s v="Credit Card"/>
    <s v="Shipped"/>
    <s v="Shipped"/>
    <s v="Valid"/>
    <s v="sophia.taylor@example.com"/>
    <n v="624.75"/>
    <n v="450"/>
    <x v="73"/>
    <n v="0.27971188475390157"/>
  </r>
  <r>
    <s v="ORD-10504"/>
    <x v="65"/>
    <s v="Daniel Harris"/>
    <s v="Daniel Harris"/>
    <s v="India"/>
    <x v="7"/>
    <x v="4"/>
    <x v="2"/>
    <n v="1"/>
    <n v="78"/>
    <n v="45"/>
    <n v="0.1"/>
    <s v="Debit Card"/>
    <s v="Debit Card"/>
    <s v="Pending"/>
    <s v="Pending"/>
    <s v="Valid"/>
    <s v="daniel.harris@example.com"/>
    <n v="70.2"/>
    <n v="45"/>
    <x v="74"/>
    <n v="0.35897435897435898"/>
  </r>
  <r>
    <s v="ORD-10397"/>
    <x v="7"/>
    <s v="Sophia Taylor"/>
    <s v="Sophia Taylor"/>
    <s v="IN"/>
    <x v="7"/>
    <x v="0"/>
    <x v="0"/>
    <n v="1"/>
    <n v="36"/>
    <n v="16"/>
    <n v="0.05"/>
    <s v="credit card"/>
    <s v="Credit Card"/>
    <s v="Completed"/>
    <s v="Completed"/>
    <s v="Missing"/>
    <m/>
    <n v="34.199999999999996"/>
    <n v="16"/>
    <x v="75"/>
    <n v="0.53216374269005839"/>
  </r>
  <r>
    <s v="ORD-10051"/>
    <x v="78"/>
    <s v="Lucas Jackson"/>
    <s v="Lucas Jackson"/>
    <s v="DE"/>
    <x v="3"/>
    <x v="2"/>
    <x v="1"/>
    <n v="5"/>
    <n v="18"/>
    <n v="7"/>
    <n v="0"/>
    <s v="credit card"/>
    <s v="Credit Card"/>
    <s v="Completed"/>
    <s v="Completed"/>
    <s v="Valid"/>
    <s v="lucas.jackson@example.com"/>
    <n v="90"/>
    <n v="35"/>
    <x v="17"/>
    <n v="0.61111111111111116"/>
  </r>
  <r>
    <s v="ORD-10374"/>
    <x v="79"/>
    <s v="Mia White"/>
    <s v="Mia White"/>
    <s v="Australia"/>
    <x v="1"/>
    <x v="2"/>
    <x v="1"/>
    <n v="4"/>
    <n v="18"/>
    <n v="7"/>
    <n v="0"/>
    <s v="paypal"/>
    <s v="PayPal"/>
    <s v="Cancelled"/>
    <s v="Cancelled"/>
    <s v="Valid"/>
    <s v="mia.white@example.com"/>
    <n v="72"/>
    <n v="28"/>
    <x v="76"/>
    <n v="0.61111111111111116"/>
  </r>
  <r>
    <s v="ORD-10513"/>
    <x v="80"/>
    <s v="Lucas Jackson"/>
    <s v="Lucas Jackson"/>
    <s v=" singapore "/>
    <x v="5"/>
    <x v="10"/>
    <x v="3"/>
    <n v="5"/>
    <n v="245"/>
    <n v="150"/>
    <n v="0.2"/>
    <s v="credit card"/>
    <s v="Credit Card"/>
    <s v="Cancelled"/>
    <s v="Cancelled"/>
    <s v="Valid"/>
    <s v="lucas.jackson@example.com"/>
    <n v="980"/>
    <n v="750"/>
    <x v="77"/>
    <n v="0.23469387755102042"/>
  </r>
  <r>
    <s v="ORD-10045"/>
    <x v="81"/>
    <s v="Daniel Harris"/>
    <s v="Daniel Harris"/>
    <s v="UK"/>
    <x v="2"/>
    <x v="1"/>
    <x v="1"/>
    <n v="5"/>
    <n v="38"/>
    <n v="17"/>
    <n v="0"/>
    <s v="credit card"/>
    <s v="Credit Card"/>
    <s v="Cancelled"/>
    <s v="Cancelled"/>
    <s v="Valid"/>
    <s v="daniel.harris@example.com"/>
    <n v="190"/>
    <n v="85"/>
    <x v="61"/>
    <n v="0.55263157894736847"/>
  </r>
  <r>
    <s v="ORD-10360"/>
    <x v="82"/>
    <s v="Mia White"/>
    <s v="Mia White"/>
    <s v="U.K."/>
    <x v="2"/>
    <x v="8"/>
    <x v="3"/>
    <n v="3"/>
    <n v="59"/>
    <n v="30"/>
    <n v="0"/>
    <s v="credit card"/>
    <s v="Credit Card"/>
    <s v="Pending"/>
    <s v="Pending"/>
    <s v="Valid"/>
    <s v="mia.white@example.com"/>
    <n v="177"/>
    <n v="90"/>
    <x v="78"/>
    <n v="0.49152542372881358"/>
  </r>
  <r>
    <s v="ORD-10181"/>
    <x v="83"/>
    <s v="Emma Wilson"/>
    <s v="Emma Wilson"/>
    <s v=" singapore "/>
    <x v="5"/>
    <x v="6"/>
    <x v="1"/>
    <n v="4"/>
    <n v="42"/>
    <n v="21"/>
    <n v="0.15"/>
    <s v="Bank Transfer"/>
    <s v="Bank Transfer"/>
    <s v="Pending"/>
    <s v="Pending"/>
    <s v="Valid"/>
    <s v="emma.wilson@example.com"/>
    <n v="142.79999999999998"/>
    <n v="84"/>
    <x v="79"/>
    <n v="0.41176470588235287"/>
  </r>
  <r>
    <s v="ORD-10309"/>
    <x v="81"/>
    <s v="Alex Morgan"/>
    <s v="Alex Morgan"/>
    <s v="Australia"/>
    <x v="1"/>
    <x v="10"/>
    <x v="3"/>
    <n v="3"/>
    <n v="245"/>
    <n v="150"/>
    <n v="0"/>
    <s v="credit card"/>
    <s v="Credit Card"/>
    <s v="Completed"/>
    <s v="Completed"/>
    <s v="Valid"/>
    <s v="alex.morgan@example.com"/>
    <n v="735"/>
    <n v="450"/>
    <x v="80"/>
    <n v="0.38775510204081631"/>
  </r>
  <r>
    <s v="ORD-10178"/>
    <x v="84"/>
    <s v="Lucas Jackson"/>
    <s v="Lucas Jackson"/>
    <s v="UAE"/>
    <x v="0"/>
    <x v="10"/>
    <x v="3"/>
    <n v="2"/>
    <n v="245"/>
    <n v="150"/>
    <n v="0.1"/>
    <s v="paypal"/>
    <s v="PayPal"/>
    <s v="Completed"/>
    <s v="Completed"/>
    <s v="Missing"/>
    <m/>
    <n v="441"/>
    <n v="300"/>
    <x v="35"/>
    <n v="0.31972789115646261"/>
  </r>
  <r>
    <s v="ORD-10008"/>
    <x v="85"/>
    <s v="Henry Clark"/>
    <s v="Henry Clark"/>
    <s v=" australia"/>
    <x v="1"/>
    <x v="0"/>
    <x v="0"/>
    <n v="4"/>
    <n v="36"/>
    <n v="16"/>
    <n v="0"/>
    <s v="credit card"/>
    <s v="Credit Card"/>
    <s v="Completed"/>
    <s v="Completed"/>
    <s v="Valid"/>
    <s v="henry.clark@example.com"/>
    <n v="144"/>
    <n v="64"/>
    <x v="13"/>
    <n v="0.55555555555555558"/>
  </r>
  <r>
    <s v="ORD-10293"/>
    <x v="86"/>
    <s v="Olivia Davis"/>
    <s v="Olivia Davis"/>
    <s v=" australia"/>
    <x v="1"/>
    <x v="0"/>
    <x v="0"/>
    <n v="4"/>
    <n v="36"/>
    <n v="16"/>
    <n v="0.15"/>
    <s v="Bank Transfer"/>
    <s v="Bank Transfer"/>
    <s v="Completed"/>
    <s v="Completed"/>
    <s v="Valid"/>
    <s v="olivia.davis@example.com"/>
    <n v="122.39999999999999"/>
    <n v="64"/>
    <x v="81"/>
    <n v="0.47712418300653592"/>
  </r>
  <r>
    <s v="ORD-10539"/>
    <x v="20"/>
    <s v="Chloe Lewis"/>
    <s v="Chloe Lewis"/>
    <m/>
    <x v="8"/>
    <x v="11"/>
    <x v="3"/>
    <n v="3"/>
    <n v="175"/>
    <n v="105"/>
    <n v="0.1"/>
    <s v="paypal"/>
    <s v="PayPal"/>
    <s v="Completed"/>
    <s v="Completed"/>
    <s v="Valid"/>
    <s v="chloe.lewis@example.com"/>
    <n v="472.5"/>
    <n v="315"/>
    <x v="82"/>
    <n v="0.33333333333333331"/>
  </r>
  <r>
    <s v="ORD-10301"/>
    <x v="10"/>
    <s v="Emma Wilson"/>
    <s v="Emma Wilson"/>
    <s v="IN"/>
    <x v="7"/>
    <x v="5"/>
    <x v="3"/>
    <n v="2"/>
    <n v="85"/>
    <n v="44"/>
    <n v="0"/>
    <s v="Debit Card"/>
    <s v="Debit Card"/>
    <s v="Pending"/>
    <s v="Pending"/>
    <s v="Valid"/>
    <s v="emma.wilson@example.com"/>
    <n v="170"/>
    <n v="88"/>
    <x v="83"/>
    <n v="0.4823529411764706"/>
  </r>
  <r>
    <s v="ORD-10334"/>
    <x v="87"/>
    <s v="Ethan Anderson"/>
    <s v="Ethan Anderson"/>
    <s v="U.K."/>
    <x v="2"/>
    <x v="7"/>
    <x v="0"/>
    <n v="3"/>
    <n v="210"/>
    <n v="125"/>
    <n v="0.05"/>
    <s v="Bank Transfer"/>
    <s v="Bank Transfer"/>
    <s v="Pending"/>
    <s v="Pending"/>
    <s v="Valid"/>
    <s v="ethan.anderson@example.com"/>
    <n v="598.5"/>
    <n v="375"/>
    <x v="84"/>
    <n v="0.37343358395989973"/>
  </r>
  <r>
    <s v="ORD-10517"/>
    <x v="88"/>
    <s v="Henry Clark"/>
    <s v="Henry Clark"/>
    <s v="AUS"/>
    <x v="1"/>
    <x v="3"/>
    <x v="2"/>
    <n v="3"/>
    <n v="92"/>
    <n v="53"/>
    <n v="0"/>
    <s v="Debit Card"/>
    <s v="Debit Card"/>
    <s v="Completed"/>
    <s v="Completed"/>
    <s v="Valid"/>
    <s v="henry.clark@example.com"/>
    <n v="276"/>
    <n v="159"/>
    <x v="85"/>
    <n v="0.42391304347826086"/>
  </r>
  <r>
    <s v="ORD-10189"/>
    <x v="89"/>
    <s v="Ethan Anderson"/>
    <s v="Ethan Anderson"/>
    <s v="UK"/>
    <x v="2"/>
    <x v="8"/>
    <x v="3"/>
    <n v="3"/>
    <n v="59"/>
    <n v="30"/>
    <n v="0.05"/>
    <s v="paypal"/>
    <s v="PayPal"/>
    <s v="Shipped"/>
    <s v="Shipped"/>
    <s v="Valid"/>
    <s v="ethan.anderson@example.com"/>
    <n v="168.15"/>
    <n v="90"/>
    <x v="10"/>
    <n v="0.46476360392506694"/>
  </r>
  <r>
    <s v="ORD-10361"/>
    <x v="90"/>
    <s v="Mia White"/>
    <s v="Mia White"/>
    <s v="U.K."/>
    <x v="2"/>
    <x v="0"/>
    <x v="0"/>
    <n v="5"/>
    <n v="36"/>
    <n v="16"/>
    <n v="0"/>
    <s v="Bank Transfer"/>
    <s v="Bank Transfer"/>
    <s v="Pending"/>
    <s v="Pending"/>
    <s v="Valid"/>
    <s v="mia.white@example.com"/>
    <n v="180"/>
    <n v="80"/>
    <x v="86"/>
    <n v="0.55555555555555558"/>
  </r>
  <r>
    <s v="ORD-10473"/>
    <x v="91"/>
    <s v="Daniel Harris"/>
    <s v="Daniel Harris"/>
    <s v="Germany"/>
    <x v="3"/>
    <x v="11"/>
    <x v="3"/>
    <n v="3"/>
    <n v="175"/>
    <n v="105"/>
    <n v="0"/>
    <s v="paypal"/>
    <s v="PayPal"/>
    <s v="Completed"/>
    <s v="Completed"/>
    <s v="Valid"/>
    <s v="daniel.harris@example.com"/>
    <n v="525"/>
    <n v="315"/>
    <x v="59"/>
    <n v="0.4"/>
  </r>
  <r>
    <s v="ORD-10521"/>
    <x v="92"/>
    <s v="Benjamin Walker"/>
    <s v="Benjamin Walker"/>
    <s v="AUS"/>
    <x v="1"/>
    <x v="0"/>
    <x v="0"/>
    <n v="4"/>
    <n v="36"/>
    <n v="16"/>
    <n v="0.05"/>
    <s v="Bank Transfer"/>
    <s v="Bank Transfer"/>
    <s v="Completed"/>
    <s v="Completed"/>
    <s v="Valid"/>
    <s v="benjamin.walker@example.com"/>
    <n v="136.79999999999998"/>
    <n v="64"/>
    <x v="87"/>
    <n v="0.53216374269005839"/>
  </r>
  <r>
    <s v="ORD-10172"/>
    <x v="93"/>
    <s v="Daniel Harris"/>
    <s v="Daniel Harris"/>
    <s v=" germany "/>
    <x v="3"/>
    <x v="5"/>
    <x v="3"/>
    <n v="2"/>
    <n v="85"/>
    <n v="44"/>
    <n v="0.1"/>
    <s v="credit card"/>
    <s v="Credit Card"/>
    <s v="Completed"/>
    <s v="Completed"/>
    <s v="Valid"/>
    <s v="daniel.harris@example.com"/>
    <n v="153"/>
    <n v="88"/>
    <x v="88"/>
    <n v="0.42483660130718953"/>
  </r>
  <r>
    <s v="ORD-10187"/>
    <x v="94"/>
    <s v="Emma Wilson"/>
    <s v="Emma Wilson"/>
    <s v=" germany "/>
    <x v="3"/>
    <x v="9"/>
    <x v="1"/>
    <n v="1"/>
    <n v="65"/>
    <n v="31"/>
    <n v="0.1"/>
    <s v="paypal"/>
    <s v="PayPal"/>
    <s v="Completed"/>
    <s v="Completed"/>
    <s v="Invalid"/>
    <s v="emma.wilson@example"/>
    <n v="58.5"/>
    <n v="31"/>
    <x v="89"/>
    <n v="0.47008547008547008"/>
  </r>
  <r>
    <s v="ORD-10462"/>
    <x v="95"/>
    <s v=" daniel harris "/>
    <s v="Daniel Harris"/>
    <s v="IN"/>
    <x v="7"/>
    <x v="1"/>
    <x v="1"/>
    <n v="2"/>
    <n v="38"/>
    <n v="17"/>
    <n v="0"/>
    <s v="credit card"/>
    <s v="Credit Card"/>
    <s v="Cancelled"/>
    <s v="Cancelled"/>
    <s v="Valid"/>
    <s v="daniel.harris@example.com"/>
    <n v="76"/>
    <n v="34"/>
    <x v="90"/>
    <n v="0.55263157894736847"/>
  </r>
  <r>
    <s v="ORD-10044"/>
    <x v="32"/>
    <s v="Ava Thomas"/>
    <s v="Ava Thomas"/>
    <s v="U.K."/>
    <x v="2"/>
    <x v="6"/>
    <x v="1"/>
    <n v="3"/>
    <n v="42"/>
    <n v="21"/>
    <n v="0"/>
    <s v="paypal"/>
    <s v="PayPal"/>
    <s v="Pending"/>
    <s v="Pending"/>
    <s v="Valid"/>
    <s v="ava.thomas@example.com"/>
    <n v="126"/>
    <n v="63"/>
    <x v="11"/>
    <n v="0.5"/>
  </r>
  <r>
    <s v="ORD-10116"/>
    <x v="96"/>
    <s v="Olivia Davis"/>
    <s v="Olivia Davis"/>
    <s v="U.A.E."/>
    <x v="0"/>
    <x v="10"/>
    <x v="3"/>
    <n v="5"/>
    <n v="245"/>
    <n v="150"/>
    <n v="0.05"/>
    <s v="Bank Transfer"/>
    <s v="Bank Transfer"/>
    <s v="Shipped"/>
    <s v="Shipped"/>
    <s v="Valid"/>
    <s v="olivia.davis@example.com"/>
    <n v="1163.75"/>
    <n v="750"/>
    <x v="91"/>
    <n v="0.35553168635875404"/>
  </r>
  <r>
    <s v="ORD-10390"/>
    <x v="97"/>
    <s v="Lucas Jackson"/>
    <s v="Lucas Jackson"/>
    <s v="SG"/>
    <x v="5"/>
    <x v="10"/>
    <x v="3"/>
    <n v="1"/>
    <n v="245"/>
    <n v="150"/>
    <n v="0.05"/>
    <s v="paypal"/>
    <s v="PayPal"/>
    <s v="Cancelled"/>
    <s v="Cancelled"/>
    <s v="Valid"/>
    <s v="lucas.jackson@example.com"/>
    <n v="232.75"/>
    <n v="150"/>
    <x v="38"/>
    <n v="0.35553168635875404"/>
  </r>
  <r>
    <s v="ORD-10500"/>
    <x v="98"/>
    <s v="Lucas Jackson"/>
    <s v="Lucas Jackson"/>
    <s v="United Kingdom"/>
    <x v="2"/>
    <x v="3"/>
    <x v="2"/>
    <n v="1"/>
    <n v="92"/>
    <n v="53"/>
    <n v="0.2"/>
    <s v="Bank Transfer"/>
    <s v="Bank Transfer"/>
    <s v="Pending"/>
    <s v="Pending"/>
    <s v="Valid"/>
    <s v="lucas.jackson@example.com"/>
    <n v="73.600000000000009"/>
    <n v="53"/>
    <x v="19"/>
    <n v="0.27989130434782616"/>
  </r>
  <r>
    <s v="ORD-10101"/>
    <x v="99"/>
    <s v="Ethan Anderson"/>
    <s v="Ethan Anderson"/>
    <s v=" singapore "/>
    <x v="5"/>
    <x v="0"/>
    <x v="0"/>
    <n v="5"/>
    <n v="36"/>
    <n v="16"/>
    <n v="0"/>
    <s v="Bank Transfer"/>
    <s v="Bank Transfer"/>
    <s v="Pending"/>
    <s v="Pending"/>
    <s v="Valid"/>
    <s v="ethan.anderson@example.com"/>
    <n v="180"/>
    <n v="80"/>
    <x v="86"/>
    <n v="0.55555555555555558"/>
  </r>
  <r>
    <s v="ORD-10221"/>
    <x v="100"/>
    <s v="Daniel Harris"/>
    <s v="Daniel Harris"/>
    <s v="Australia"/>
    <x v="1"/>
    <x v="11"/>
    <x v="3"/>
    <n v="3"/>
    <n v="175"/>
    <n v="105"/>
    <n v="0"/>
    <s v="credit card"/>
    <s v="Credit Card"/>
    <s v="Cancelled"/>
    <s v="Cancelled"/>
    <s v="Valid"/>
    <s v="daniel.harris@example.com"/>
    <n v="525"/>
    <n v="315"/>
    <x v="59"/>
    <n v="0.4"/>
  </r>
  <r>
    <s v="ORD-10332"/>
    <x v="101"/>
    <s v=" daniel harris "/>
    <s v="Daniel Harris"/>
    <s v=" india "/>
    <x v="7"/>
    <x v="0"/>
    <x v="0"/>
    <n v="4"/>
    <n v="36"/>
    <n v="16"/>
    <n v="0"/>
    <s v="paypal"/>
    <s v="PayPal"/>
    <s v="Shipped"/>
    <s v="Shipped"/>
    <s v="Valid"/>
    <s v="daniel.harris@example.com"/>
    <n v="144"/>
    <n v="64"/>
    <x v="13"/>
    <n v="0.55555555555555558"/>
  </r>
  <r>
    <s v="ORD-10176"/>
    <x v="33"/>
    <s v="Alex Morgan"/>
    <s v="Alex Morgan"/>
    <s v="SG"/>
    <x v="5"/>
    <x v="3"/>
    <x v="2"/>
    <n v="3"/>
    <n v="92"/>
    <n v="53"/>
    <n v="0.15"/>
    <s v="credit card"/>
    <s v="Credit Card"/>
    <s v="Completed"/>
    <s v="Completed"/>
    <s v="Valid"/>
    <s v="alex.morgan@example.com"/>
    <n v="234.6"/>
    <n v="159"/>
    <x v="22"/>
    <n v="0.32225063938618925"/>
  </r>
  <r>
    <s v="ORD-10179"/>
    <x v="102"/>
    <s v="Chloe Lewis"/>
    <s v="Chloe Lewis"/>
    <s v="USA"/>
    <x v="4"/>
    <x v="4"/>
    <x v="2"/>
    <n v="4"/>
    <n v="78"/>
    <n v="45"/>
    <n v="0"/>
    <s v="Bank Transfer"/>
    <s v="Bank Transfer"/>
    <s v="Shipped"/>
    <s v="Shipped"/>
    <s v="Valid"/>
    <s v="chloe.lewis@example.com"/>
    <n v="312"/>
    <n v="180"/>
    <x v="92"/>
    <n v="0.42307692307692307"/>
  </r>
  <r>
    <s v="ORD-10281"/>
    <x v="103"/>
    <s v="Olivia Davis"/>
    <s v="Olivia Davis"/>
    <s v="India"/>
    <x v="7"/>
    <x v="11"/>
    <x v="3"/>
    <n v="3"/>
    <n v="175"/>
    <n v="105"/>
    <n v="0.05"/>
    <s v="Debit Card"/>
    <s v="Debit Card"/>
    <s v="Completed"/>
    <s v="Completed"/>
    <s v="Valid"/>
    <s v="olivia.davis@example.com"/>
    <n v="498.75"/>
    <n v="315"/>
    <x v="93"/>
    <n v="0.36842105263157893"/>
  </r>
  <r>
    <s v="ORD-10290"/>
    <x v="104"/>
    <s v="Ethan Anderson"/>
    <s v="Ethan Anderson"/>
    <s v="IN"/>
    <x v="7"/>
    <x v="3"/>
    <x v="2"/>
    <n v="2"/>
    <n v="92"/>
    <n v="53"/>
    <n v="0.05"/>
    <s v="credit card"/>
    <s v="Credit Card"/>
    <s v="Cancelled"/>
    <s v="Cancelled"/>
    <s v="Valid"/>
    <s v="ethan.anderson@example.com"/>
    <n v="174.79999999999998"/>
    <n v="106"/>
    <x v="26"/>
    <n v="0.39359267734553771"/>
  </r>
  <r>
    <s v="ORD-10393"/>
    <x v="74"/>
    <s v="James Thompson"/>
    <s v="James Thompson"/>
    <s v="U.A.E."/>
    <x v="0"/>
    <x v="7"/>
    <x v="0"/>
    <n v="3"/>
    <n v="210"/>
    <n v="125"/>
    <n v="0"/>
    <s v="Debit Card"/>
    <s v="Debit Card"/>
    <s v="Pending"/>
    <s v="Pending"/>
    <s v="Valid"/>
    <s v="james.thompson@example.com"/>
    <n v="630"/>
    <n v="375"/>
    <x v="94"/>
    <n v="0.40476190476190477"/>
  </r>
  <r>
    <s v="ORD-10536"/>
    <x v="69"/>
    <s v=" ella martin "/>
    <s v="Ella Martin"/>
    <s v="SG"/>
    <x v="5"/>
    <x v="11"/>
    <x v="3"/>
    <n v="1"/>
    <n v="175"/>
    <n v="105"/>
    <n v="0"/>
    <s v="credit card"/>
    <s v="Credit Card"/>
    <s v="Completed"/>
    <s v="Completed"/>
    <s v="Valid"/>
    <s v="ella.martin@example.com"/>
    <n v="175"/>
    <n v="105"/>
    <x v="95"/>
    <n v="0.4"/>
  </r>
  <r>
    <s v="ORD-10542"/>
    <x v="47"/>
    <s v="Chloe Lewis"/>
    <s v="Chloe Lewis"/>
    <s v=" uae "/>
    <x v="0"/>
    <x v="7"/>
    <x v="0"/>
    <n v="5"/>
    <n v="210"/>
    <n v="125"/>
    <n v="0"/>
    <s v="Bank Transfer"/>
    <s v="Bank Transfer"/>
    <s v="Pending"/>
    <s v="Pending"/>
    <s v="Valid"/>
    <s v="chloe.lewis@example.com"/>
    <n v="1050"/>
    <n v="625"/>
    <x v="96"/>
    <n v="0.40476190476190477"/>
  </r>
  <r>
    <s v="ORD-10501"/>
    <x v="105"/>
    <s v="Benjamin Walker"/>
    <s v="Benjamin Walker"/>
    <s v="DE"/>
    <x v="3"/>
    <x v="0"/>
    <x v="0"/>
    <n v="4"/>
    <n v="36"/>
    <n v="16"/>
    <n v="0"/>
    <s v="credit card"/>
    <s v="Credit Card"/>
    <s v="Shipped"/>
    <s v="Shipped"/>
    <s v="Valid"/>
    <s v="benjamin.walker@example.com"/>
    <n v="144"/>
    <n v="64"/>
    <x v="13"/>
    <n v="0.55555555555555558"/>
  </r>
  <r>
    <s v="ORD-10126"/>
    <x v="106"/>
    <s v="Grace Moore"/>
    <s v="Grace Moore"/>
    <s v=" india "/>
    <x v="7"/>
    <x v="9"/>
    <x v="1"/>
    <n v="3"/>
    <n v="65"/>
    <n v="31"/>
    <n v="0"/>
    <s v="Debit Card"/>
    <s v="Debit Card"/>
    <s v="Cancelled"/>
    <s v="Cancelled"/>
    <s v="Valid"/>
    <s v="grace.moore@example.com"/>
    <n v="195"/>
    <n v="93"/>
    <x v="97"/>
    <n v="0.52307692307692311"/>
  </r>
  <r>
    <s v="ORD-10217"/>
    <x v="48"/>
    <s v="Lily Hall"/>
    <s v="Lily Hall"/>
    <s v="United Arab Emirates"/>
    <x v="0"/>
    <x v="1"/>
    <x v="1"/>
    <n v="1"/>
    <n v="38"/>
    <n v="17"/>
    <n v="0.1"/>
    <s v="Bank Transfer"/>
    <s v="Bank Transfer"/>
    <s v="Shipped"/>
    <s v="Shipped"/>
    <s v="Valid"/>
    <s v="lily.hall@example.com"/>
    <n v="34.200000000000003"/>
    <n v="17"/>
    <x v="98"/>
    <n v="0.50292397660818722"/>
  </r>
  <r>
    <s v="ORD-10203"/>
    <x v="54"/>
    <s v=" sophia taylor "/>
    <s v="Sophia Taylor"/>
    <s v=" germany "/>
    <x v="3"/>
    <x v="0"/>
    <x v="0"/>
    <n v="4"/>
    <n v="36"/>
    <n v="16"/>
    <n v="0.05"/>
    <s v="paypal"/>
    <s v="PayPal"/>
    <s v="Pending"/>
    <s v="Pending"/>
    <s v="Valid"/>
    <s v="sophia.taylor@example.com"/>
    <n v="136.79999999999998"/>
    <n v="64"/>
    <x v="87"/>
    <n v="0.53216374269005839"/>
  </r>
  <r>
    <s v="ORD-10407"/>
    <x v="107"/>
    <s v=" grace moore "/>
    <s v="Grace Moore"/>
    <s v=" united kingdom"/>
    <x v="2"/>
    <x v="5"/>
    <x v="3"/>
    <n v="1"/>
    <n v="85"/>
    <n v="44"/>
    <n v="0.15"/>
    <s v="Bank Transfer"/>
    <s v="Bank Transfer"/>
    <s v="Completed"/>
    <s v="Completed"/>
    <s v="Valid"/>
    <s v="grace.moore@example.com"/>
    <n v="72.25"/>
    <n v="44"/>
    <x v="99"/>
    <n v="0.39100346020761245"/>
  </r>
  <r>
    <s v="ORD-10486"/>
    <x v="108"/>
    <s v="Noah Brown"/>
    <s v="Noah Brown"/>
    <s v="United Arab Emirates"/>
    <x v="0"/>
    <x v="5"/>
    <x v="3"/>
    <n v="5"/>
    <n v="85"/>
    <n v="44"/>
    <n v="0.2"/>
    <s v="credit card"/>
    <s v="Credit Card"/>
    <s v="Pending"/>
    <s v="Pending"/>
    <s v="Valid"/>
    <s v="noah.brown@example.com"/>
    <n v="340"/>
    <n v="220"/>
    <x v="29"/>
    <n v="0.35294117647058826"/>
  </r>
  <r>
    <s v="ORD-10480"/>
    <x v="109"/>
    <s v="Ella Martin"/>
    <s v="Ella Martin"/>
    <s v="United Arab Emirates"/>
    <x v="0"/>
    <x v="3"/>
    <x v="2"/>
    <n v="2"/>
    <n v="92"/>
    <n v="53"/>
    <n v="0"/>
    <s v="credit card"/>
    <s v="Credit Card"/>
    <s v="Cancelled"/>
    <s v="Cancelled"/>
    <s v="Valid"/>
    <s v="ella.martin@example.com"/>
    <n v="184"/>
    <n v="106"/>
    <x v="100"/>
    <n v="0.42391304347826086"/>
  </r>
  <r>
    <s v="ORD-10410"/>
    <x v="110"/>
    <s v="Chloe Lewis"/>
    <s v="Chloe Lewis"/>
    <s v=" uae "/>
    <x v="0"/>
    <x v="4"/>
    <x v="2"/>
    <n v="1"/>
    <n v="78"/>
    <n v="45"/>
    <n v="0.05"/>
    <s v="Bank Transfer"/>
    <s v="Bank Transfer"/>
    <s v="Cancelled"/>
    <s v="Cancelled"/>
    <s v="Valid"/>
    <s v="chloe.lewis@example.com"/>
    <n v="74.099999999999994"/>
    <n v="45"/>
    <x v="66"/>
    <n v="0.39271255060728738"/>
  </r>
  <r>
    <s v="ORD-10052"/>
    <x v="81"/>
    <s v="Benjamin Walker"/>
    <s v="Benjamin Walker"/>
    <s v=" india "/>
    <x v="7"/>
    <x v="6"/>
    <x v="1"/>
    <n v="5"/>
    <n v="42"/>
    <n v="21"/>
    <n v="0"/>
    <s v="Debit Card"/>
    <s v="Debit Card"/>
    <s v="Cancelled"/>
    <s v="Cancelled"/>
    <s v="Valid"/>
    <s v="benjamin.walker@example.com"/>
    <n v="210"/>
    <n v="105"/>
    <x v="61"/>
    <n v="0.5"/>
  </r>
  <r>
    <s v="ORD-10518"/>
    <x v="111"/>
    <s v="Lily Hall"/>
    <s v="Lily Hall"/>
    <s v="U.K."/>
    <x v="2"/>
    <x v="6"/>
    <x v="1"/>
    <n v="5"/>
    <n v="42"/>
    <n v="21"/>
    <n v="0"/>
    <s v="credit card"/>
    <s v="Credit Card"/>
    <s v="Completed"/>
    <s v="Completed"/>
    <s v="Valid"/>
    <s v="lily.hall@example.com"/>
    <n v="210"/>
    <n v="105"/>
    <x v="61"/>
    <n v="0.5"/>
  </r>
  <r>
    <s v="ORD-10466"/>
    <x v="112"/>
    <s v="Olivia Davis"/>
    <s v="Olivia Davis"/>
    <s v="United States"/>
    <x v="4"/>
    <x v="7"/>
    <x v="0"/>
    <n v="5"/>
    <n v="210"/>
    <n v="125"/>
    <n v="0"/>
    <s v="Debit Card"/>
    <s v="Debit Card"/>
    <s v="Completed"/>
    <s v="Completed"/>
    <s v="Valid"/>
    <s v="olivia.davis@example.com"/>
    <n v="1050"/>
    <n v="625"/>
    <x v="96"/>
    <n v="0.40476190476190477"/>
  </r>
  <r>
    <s v="ORD-10383"/>
    <x v="16"/>
    <s v="Benjamin Walker"/>
    <s v="Benjamin Walker"/>
    <s v="Singapore"/>
    <x v="5"/>
    <x v="2"/>
    <x v="1"/>
    <n v="5"/>
    <n v="18"/>
    <n v="7"/>
    <n v="0.1"/>
    <s v="Bank Transfer"/>
    <s v="Bank Transfer"/>
    <s v="Cancelled"/>
    <s v="Cancelled"/>
    <s v="Valid"/>
    <s v="benjamin.walker@example.com"/>
    <n v="81"/>
    <n v="35"/>
    <x v="70"/>
    <n v="0.5679012345679012"/>
  </r>
  <r>
    <s v="ORD-10174"/>
    <x v="113"/>
    <s v="Sophia Taylor"/>
    <s v="Sophia Taylor"/>
    <s v="United Kingdom"/>
    <x v="2"/>
    <x v="3"/>
    <x v="2"/>
    <n v="4"/>
    <n v="92"/>
    <n v="53"/>
    <n v="0"/>
    <s v="credit card"/>
    <s v="Credit Card"/>
    <s v="Completed"/>
    <s v="Completed"/>
    <s v="Valid"/>
    <s v="sophia.taylor@example.com"/>
    <n v="368"/>
    <n v="212"/>
    <x v="101"/>
    <n v="0.42391304347826086"/>
  </r>
  <r>
    <s v="ORD-10058"/>
    <x v="114"/>
    <s v="Ava Thomas"/>
    <s v="Ava Thomas"/>
    <s v=" india "/>
    <x v="7"/>
    <x v="8"/>
    <x v="3"/>
    <n v="2"/>
    <n v="59"/>
    <n v="30"/>
    <n v="0"/>
    <s v="Debit Card"/>
    <s v="Debit Card"/>
    <s v="Shipped"/>
    <s v="Shipped"/>
    <s v="Valid"/>
    <s v="ava.thomas@example.com"/>
    <n v="118"/>
    <n v="60"/>
    <x v="23"/>
    <n v="0.49152542372881358"/>
  </r>
  <r>
    <s v="ORD-10163"/>
    <x v="84"/>
    <s v="Henry Clark"/>
    <s v="Henry Clark"/>
    <s v="CAN"/>
    <x v="6"/>
    <x v="0"/>
    <x v="0"/>
    <n v="5"/>
    <n v="36"/>
    <n v="16"/>
    <n v="0.05"/>
    <s v="paypal"/>
    <s v="PayPal"/>
    <s v="Shipped"/>
    <s v="Shipped"/>
    <s v="Valid"/>
    <s v="henry.clark@example.com"/>
    <n v="171"/>
    <n v="80"/>
    <x v="102"/>
    <n v="0.53216374269005851"/>
  </r>
  <r>
    <s v="ORD-10218"/>
    <x v="115"/>
    <s v="Mia White"/>
    <s v="Mia White"/>
    <s v="IN"/>
    <x v="7"/>
    <x v="8"/>
    <x v="3"/>
    <n v="4"/>
    <n v="59"/>
    <n v="30"/>
    <n v="0"/>
    <s v="credit card"/>
    <s v="Credit Card"/>
    <s v="Completed"/>
    <s v="Completed"/>
    <s v="Valid"/>
    <s v="mia.white@example.com"/>
    <n v="236"/>
    <n v="120"/>
    <x v="103"/>
    <n v="0.49152542372881358"/>
  </r>
  <r>
    <s v="ORD-10413"/>
    <x v="116"/>
    <s v=" mia white "/>
    <s v="Mia White"/>
    <s v="CAN"/>
    <x v="6"/>
    <x v="9"/>
    <x v="1"/>
    <n v="4"/>
    <n v="65"/>
    <n v="31"/>
    <n v="0"/>
    <s v="Debit Card"/>
    <s v="Debit Card"/>
    <s v="Cancelled"/>
    <s v="Cancelled"/>
    <s v="Valid"/>
    <s v="mia.white@example.com"/>
    <n v="260"/>
    <n v="124"/>
    <x v="104"/>
    <n v="0.52307692307692311"/>
  </r>
  <r>
    <s v="ORD-10094"/>
    <x v="117"/>
    <s v="Ella Martin"/>
    <s v="Ella Martin"/>
    <s v=" india "/>
    <x v="7"/>
    <x v="4"/>
    <x v="2"/>
    <n v="2"/>
    <n v="78"/>
    <n v="45"/>
    <n v="0.15"/>
    <s v="paypal"/>
    <s v="PayPal"/>
    <s v="Pending"/>
    <s v="Pending"/>
    <s v="Valid"/>
    <s v="ella.martin@example.com"/>
    <n v="132.6"/>
    <n v="90"/>
    <x v="105"/>
    <n v="0.32126696832579182"/>
  </r>
  <r>
    <s v="ORD-10100"/>
    <x v="61"/>
    <s v="Benjamin Walker"/>
    <s v="Benjamin Walker"/>
    <s v="UK"/>
    <x v="2"/>
    <x v="5"/>
    <x v="3"/>
    <n v="4"/>
    <n v="85"/>
    <n v="44"/>
    <n v="0"/>
    <s v="credit card"/>
    <s v="Credit Card"/>
    <s v="Completed"/>
    <s v="Completed"/>
    <s v="Valid"/>
    <s v="benjamin.walker@example.com"/>
    <n v="340"/>
    <n v="176"/>
    <x v="7"/>
    <n v="0.4823529411764706"/>
  </r>
  <r>
    <s v="ORD-10292"/>
    <x v="118"/>
    <s v="Lucas Jackson"/>
    <s v="Lucas Jackson"/>
    <s v="AUS"/>
    <x v="1"/>
    <x v="11"/>
    <x v="3"/>
    <n v="5"/>
    <n v="175"/>
    <n v="105"/>
    <n v="0.1"/>
    <s v="credit card"/>
    <s v="Credit Card"/>
    <s v="Pending"/>
    <s v="Pending"/>
    <s v="Valid"/>
    <s v="lucas.jackson@example.com"/>
    <n v="787.5"/>
    <n v="525"/>
    <x v="106"/>
    <n v="0.33333333333333331"/>
  </r>
  <r>
    <s v="ORD-10323"/>
    <x v="119"/>
    <s v="Ava Thomas"/>
    <s v="Ava Thomas"/>
    <s v="Germany"/>
    <x v="3"/>
    <x v="7"/>
    <x v="0"/>
    <n v="3"/>
    <n v="210"/>
    <n v="125"/>
    <n v="0"/>
    <s v="Bank Transfer"/>
    <s v="Bank Transfer"/>
    <s v="Shipped"/>
    <s v="Shipped"/>
    <s v="Valid"/>
    <s v="ava.thomas@example.com"/>
    <n v="630"/>
    <n v="375"/>
    <x v="94"/>
    <n v="0.40476190476190477"/>
  </r>
  <r>
    <s v="ORD-10320"/>
    <x v="59"/>
    <s v="Ava Thomas"/>
    <s v="Ava Thomas"/>
    <s v="United States"/>
    <x v="4"/>
    <x v="6"/>
    <x v="1"/>
    <n v="3"/>
    <n v="42"/>
    <n v="21"/>
    <n v="0.1"/>
    <s v="Bank Transfer"/>
    <s v="Bank Transfer"/>
    <s v="Shipped"/>
    <s v="Shipped"/>
    <s v="Valid"/>
    <s v="ava.thomas@example.com"/>
    <n v="113.4"/>
    <n v="63"/>
    <x v="107"/>
    <n v="0.44444444444444448"/>
  </r>
  <r>
    <s v="ORD-10085"/>
    <x v="120"/>
    <s v="Benjamin Walker"/>
    <s v="Benjamin Walker"/>
    <s v="U.A.E."/>
    <x v="0"/>
    <x v="10"/>
    <x v="3"/>
    <n v="3"/>
    <n v="245"/>
    <n v="150"/>
    <n v="0"/>
    <s v="paypal"/>
    <s v="PayPal"/>
    <s v="Completed"/>
    <s v="Completed"/>
    <s v="Valid"/>
    <s v="benjamin.walker@example.com"/>
    <n v="735"/>
    <n v="450"/>
    <x v="80"/>
    <n v="0.38775510204081631"/>
  </r>
  <r>
    <s v="ORD-10304"/>
    <x v="121"/>
    <s v="Ava Thomas"/>
    <s v="Ava Thomas"/>
    <s v="SG"/>
    <x v="5"/>
    <x v="2"/>
    <x v="1"/>
    <n v="2"/>
    <n v="18"/>
    <n v="7"/>
    <n v="0.05"/>
    <s v="paypal"/>
    <s v="PayPal"/>
    <s v="Completed"/>
    <s v="Completed"/>
    <s v="Missing"/>
    <m/>
    <n v="34.199999999999996"/>
    <n v="14"/>
    <x v="55"/>
    <n v="0.59064327485380108"/>
  </r>
  <r>
    <s v="ORD-10092"/>
    <x v="47"/>
    <s v="Olivia Davis"/>
    <s v="Olivia Davis"/>
    <s v=" uae "/>
    <x v="0"/>
    <x v="2"/>
    <x v="1"/>
    <n v="5"/>
    <n v="18"/>
    <n v="7"/>
    <n v="0"/>
    <s v="credit card"/>
    <s v="Credit Card"/>
    <s v="Cancelled"/>
    <s v="Cancelled"/>
    <s v="Valid"/>
    <s v="olivia.davis@example.com"/>
    <n v="90"/>
    <n v="35"/>
    <x v="17"/>
    <n v="0.61111111111111116"/>
  </r>
  <r>
    <s v="ORD-10029"/>
    <x v="122"/>
    <s v="Liam Miller"/>
    <s v="Liam Miller"/>
    <s v=" uae "/>
    <x v="0"/>
    <x v="8"/>
    <x v="3"/>
    <n v="3"/>
    <n v="59"/>
    <n v="30"/>
    <n v="0.1"/>
    <s v="Bank Transfer"/>
    <s v="Bank Transfer"/>
    <s v="Cancelled"/>
    <s v="Cancelled"/>
    <s v="Valid"/>
    <s v="liam.miller@example.com"/>
    <n v="159.30000000000001"/>
    <n v="90"/>
    <x v="108"/>
    <n v="0.43502824858757067"/>
  </r>
  <r>
    <s v="ORD-10073"/>
    <x v="123"/>
    <s v="Olivia Davis"/>
    <s v="Olivia Davis"/>
    <s v=" singapore "/>
    <x v="5"/>
    <x v="7"/>
    <x v="0"/>
    <n v="5"/>
    <n v="210"/>
    <n v="125"/>
    <n v="0"/>
    <s v="credit card"/>
    <s v="Credit Card"/>
    <s v="Completed"/>
    <s v="Completed"/>
    <s v="Valid"/>
    <s v="olivia.davis@example.com"/>
    <n v="1050"/>
    <n v="625"/>
    <x v="96"/>
    <n v="0.40476190476190477"/>
  </r>
  <r>
    <s v="ORD-10440"/>
    <x v="124"/>
    <s v="Benjamin Walker"/>
    <s v="Benjamin Walker"/>
    <s v=" united kingdom"/>
    <x v="2"/>
    <x v="6"/>
    <x v="1"/>
    <n v="5"/>
    <n v="42"/>
    <n v="21"/>
    <n v="0.05"/>
    <s v="paypal"/>
    <s v="PayPal"/>
    <s v="Cancelled"/>
    <s v="Cancelled"/>
    <s v="Valid"/>
    <s v="benjamin.walker@example.com"/>
    <n v="199.5"/>
    <n v="105"/>
    <x v="109"/>
    <n v="0.47368421052631576"/>
  </r>
  <r>
    <s v="ORD-10544"/>
    <x v="125"/>
    <s v="Chloe Lewis"/>
    <s v="Chloe Lewis"/>
    <s v="Singapore"/>
    <x v="5"/>
    <x v="10"/>
    <x v="3"/>
    <n v="3"/>
    <n v="245"/>
    <n v="150"/>
    <n v="0.2"/>
    <s v="Bank Transfer"/>
    <s v="Bank Transfer"/>
    <s v="Completed"/>
    <s v="Completed"/>
    <s v="Valid"/>
    <s v="chloe.lewis@example.com"/>
    <n v="588"/>
    <n v="450"/>
    <x v="110"/>
    <n v="0.23469387755102042"/>
  </r>
  <r>
    <s v="ORD-10192"/>
    <x v="125"/>
    <s v=" sophia taylor "/>
    <s v="Sophia Taylor"/>
    <s v="AUS"/>
    <x v="1"/>
    <x v="5"/>
    <x v="3"/>
    <n v="5"/>
    <n v="85"/>
    <n v="44"/>
    <n v="0.05"/>
    <s v="paypal"/>
    <s v="PayPal"/>
    <s v="Completed"/>
    <s v="Completed"/>
    <s v="Valid"/>
    <s v="sophia.taylor@example.com"/>
    <n v="403.75"/>
    <n v="220"/>
    <x v="93"/>
    <n v="0.45510835913312692"/>
  </r>
  <r>
    <s v="ORD-10155"/>
    <x v="126"/>
    <s v="Daniel Harris"/>
    <s v="Daniel Harris"/>
    <s v="U.K."/>
    <x v="2"/>
    <x v="9"/>
    <x v="1"/>
    <n v="4"/>
    <n v="65"/>
    <n v="31"/>
    <n v="0"/>
    <s v="credit card"/>
    <s v="Credit Card"/>
    <s v="Pending"/>
    <s v="Pending"/>
    <s v="Valid"/>
    <s v="daniel.harris@example.com"/>
    <n v="260"/>
    <n v="124"/>
    <x v="104"/>
    <n v="0.52307692307692311"/>
  </r>
  <r>
    <s v="ORD-10313"/>
    <x v="86"/>
    <s v=" james thompson "/>
    <s v="James Thompson"/>
    <s v="IN"/>
    <x v="7"/>
    <x v="5"/>
    <x v="3"/>
    <n v="1"/>
    <n v="85"/>
    <n v="44"/>
    <n v="0.1"/>
    <s v="paypal"/>
    <s v="PayPal"/>
    <s v="Shipped"/>
    <s v="Shipped"/>
    <s v="Valid"/>
    <s v="james.thompson@example.com"/>
    <n v="76.5"/>
    <n v="44"/>
    <x v="111"/>
    <n v="0.42483660130718953"/>
  </r>
  <r>
    <s v="ORD-10296"/>
    <x v="127"/>
    <s v="Daniel Harris"/>
    <s v="Daniel Harris"/>
    <s v="IN"/>
    <x v="7"/>
    <x v="11"/>
    <x v="3"/>
    <n v="2"/>
    <n v="175"/>
    <n v="105"/>
    <n v="0.05"/>
    <s v="credit card"/>
    <s v="Credit Card"/>
    <s v="Pending"/>
    <s v="Pending"/>
    <s v="Valid"/>
    <s v="daniel.harris@example.com"/>
    <n v="332.5"/>
    <n v="210"/>
    <x v="46"/>
    <n v="0.36842105263157893"/>
  </r>
  <r>
    <s v="ORD-10441"/>
    <x v="107"/>
    <s v="Sophia Taylor"/>
    <s v="Sophia Taylor"/>
    <s v="Germany"/>
    <x v="3"/>
    <x v="3"/>
    <x v="2"/>
    <n v="1"/>
    <n v="92"/>
    <n v="53"/>
    <n v="0.05"/>
    <s v="Debit Card"/>
    <s v="Debit Card"/>
    <s v="Shipped"/>
    <s v="Shipped"/>
    <s v="Valid"/>
    <s v="sophia.taylor@example.com"/>
    <n v="87.399999999999991"/>
    <n v="53"/>
    <x v="4"/>
    <n v="0.39359267734553771"/>
  </r>
  <r>
    <s v="ORD-10250"/>
    <x v="128"/>
    <s v="Ava Thomas"/>
    <s v="Ava Thomas"/>
    <m/>
    <x v="8"/>
    <x v="2"/>
    <x v="1"/>
    <n v="1"/>
    <n v="18"/>
    <n v="7"/>
    <n v="0"/>
    <s v="credit card"/>
    <s v="Credit Card"/>
    <s v="Completed"/>
    <s v="Completed"/>
    <s v="Valid"/>
    <s v="ava.thomas@example.com"/>
    <n v="18"/>
    <n v="7"/>
    <x v="112"/>
    <n v="0.61111111111111116"/>
  </r>
  <r>
    <s v="ORD-10259"/>
    <x v="129"/>
    <s v="Emma Wilson"/>
    <s v="Emma Wilson"/>
    <s v="CAN"/>
    <x v="6"/>
    <x v="9"/>
    <x v="1"/>
    <n v="1"/>
    <n v="65"/>
    <n v="31"/>
    <n v="0.15"/>
    <s v="Debit Card"/>
    <s v="Debit Card"/>
    <s v="Pending"/>
    <s v="Pending"/>
    <s v="Valid"/>
    <s v="emma.wilson@example.com"/>
    <n v="55.25"/>
    <n v="31"/>
    <x v="113"/>
    <n v="0.43891402714932126"/>
  </r>
  <r>
    <s v="ORD-10406"/>
    <x v="130"/>
    <s v="Mia White"/>
    <s v="Mia White"/>
    <s v="SG"/>
    <x v="5"/>
    <x v="7"/>
    <x v="0"/>
    <n v="1"/>
    <n v="210"/>
    <n v="125"/>
    <n v="0.1"/>
    <s v="credit card"/>
    <s v="Credit Card"/>
    <s v="Shipped"/>
    <s v="Shipped"/>
    <s v="Valid"/>
    <s v="mia.white@example.com"/>
    <n v="189"/>
    <n v="125"/>
    <x v="114"/>
    <n v="0.33862433862433861"/>
  </r>
  <r>
    <s v="ORD-10319"/>
    <x v="54"/>
    <s v=" ella martin "/>
    <s v="Ella Martin"/>
    <s v=" united states "/>
    <x v="4"/>
    <x v="3"/>
    <x v="2"/>
    <n v="2"/>
    <n v="92"/>
    <n v="53"/>
    <n v="0"/>
    <s v="Debit Card"/>
    <s v="Debit Card"/>
    <s v="Cancelled"/>
    <s v="Cancelled"/>
    <s v="Valid"/>
    <s v="ella.martin@example.com"/>
    <n v="184"/>
    <n v="106"/>
    <x v="100"/>
    <n v="0.42391304347826086"/>
  </r>
  <r>
    <s v="ORD-10330"/>
    <x v="131"/>
    <s v="Daniel Harris"/>
    <s v="Daniel Harris"/>
    <s v=" germany "/>
    <x v="3"/>
    <x v="7"/>
    <x v="0"/>
    <n v="2"/>
    <n v="210"/>
    <n v="125"/>
    <n v="0.1"/>
    <s v="paypal"/>
    <s v="PayPal"/>
    <s v="Cancelled"/>
    <s v="Cancelled"/>
    <s v="Valid"/>
    <s v="daniel.harris@example.com"/>
    <n v="378"/>
    <n v="250"/>
    <x v="115"/>
    <n v="0.33862433862433861"/>
  </r>
  <r>
    <s v="ORD-10498"/>
    <x v="132"/>
    <s v="Benjamin Walker"/>
    <s v="Benjamin Walker"/>
    <s v="U.A.E."/>
    <x v="0"/>
    <x v="1"/>
    <x v="1"/>
    <n v="3"/>
    <n v="38"/>
    <n v="17"/>
    <n v="0.1"/>
    <s v="Debit Card"/>
    <s v="Debit Card"/>
    <s v="Pending"/>
    <s v="Pending"/>
    <s v="Valid"/>
    <s v="benjamin.walker@example.com"/>
    <n v="102.60000000000001"/>
    <n v="51"/>
    <x v="116"/>
    <n v="0.50292397660818722"/>
  </r>
  <r>
    <s v="ORD-10294"/>
    <x v="133"/>
    <s v="Lily Hall"/>
    <s v="Lily Hall"/>
    <s v="US"/>
    <x v="4"/>
    <x v="9"/>
    <x v="1"/>
    <n v="3"/>
    <n v="65"/>
    <n v="31"/>
    <n v="0.15"/>
    <s v="credit card"/>
    <s v="Credit Card"/>
    <s v="Shipped"/>
    <s v="Shipped"/>
    <s v="Valid"/>
    <s v="lily.hall@example.com"/>
    <n v="165.75"/>
    <n v="93"/>
    <x v="117"/>
    <n v="0.43891402714932126"/>
  </r>
  <r>
    <s v="ORD-10545"/>
    <x v="134"/>
    <s v="Benjamin Walker"/>
    <s v="Benjamin Walker"/>
    <s v="U.K."/>
    <x v="2"/>
    <x v="2"/>
    <x v="1"/>
    <n v="4"/>
    <n v="18"/>
    <n v="7"/>
    <n v="0.05"/>
    <s v="Debit Card"/>
    <s v="Debit Card"/>
    <s v="Completed"/>
    <s v="Completed"/>
    <s v="Valid"/>
    <s v="benjamin.walker@example.com"/>
    <n v="68.399999999999991"/>
    <n v="28"/>
    <x v="118"/>
    <n v="0.59064327485380108"/>
  </r>
  <r>
    <s v="ORD-10414"/>
    <x v="135"/>
    <s v="Ava Thomas"/>
    <s v="Ava Thomas"/>
    <s v="IN"/>
    <x v="7"/>
    <x v="3"/>
    <x v="2"/>
    <n v="4"/>
    <n v="92"/>
    <n v="53"/>
    <n v="0"/>
    <s v="paypal"/>
    <s v="PayPal"/>
    <s v="Cancelled"/>
    <s v="Cancelled"/>
    <s v="Invalid"/>
    <s v="ava.thomas@example"/>
    <n v="368"/>
    <n v="212"/>
    <x v="101"/>
    <n v="0.42391304347826086"/>
  </r>
  <r>
    <s v="ORD-10439"/>
    <x v="115"/>
    <s v="Olivia Davis"/>
    <s v="Olivia Davis"/>
    <s v="SG"/>
    <x v="5"/>
    <x v="11"/>
    <x v="3"/>
    <n v="2"/>
    <n v="175"/>
    <n v="105"/>
    <n v="0.15"/>
    <s v="paypal"/>
    <s v="PayPal"/>
    <s v="Completed"/>
    <s v="Completed"/>
    <s v="Valid"/>
    <s v="olivia.davis@example.com"/>
    <n v="297.5"/>
    <n v="210"/>
    <x v="40"/>
    <n v="0.29411764705882354"/>
  </r>
  <r>
    <s v="ORD-10081"/>
    <x v="136"/>
    <s v="Sophia Taylor"/>
    <s v="Sophia Taylor"/>
    <s v="Singapore"/>
    <x v="5"/>
    <x v="1"/>
    <x v="1"/>
    <n v="1"/>
    <n v="38"/>
    <n v="17"/>
    <n v="0.05"/>
    <s v="paypal"/>
    <s v="PayPal"/>
    <s v="Completed"/>
    <s v="Completed"/>
    <s v="Valid"/>
    <s v="sophia.taylor@example.com"/>
    <n v="36.1"/>
    <n v="17"/>
    <x v="119"/>
    <n v="0.52908587257617734"/>
  </r>
  <r>
    <s v="ORD-10528"/>
    <x v="137"/>
    <s v="Alex Morgan"/>
    <s v="Alex Morgan"/>
    <s v="DE"/>
    <x v="3"/>
    <x v="1"/>
    <x v="1"/>
    <n v="5"/>
    <n v="38"/>
    <n v="17"/>
    <n v="0"/>
    <s v="paypal"/>
    <s v="PayPal"/>
    <s v="Completed"/>
    <s v="Completed"/>
    <s v="Valid"/>
    <s v="alex.morgan@example.com"/>
    <n v="190"/>
    <n v="85"/>
    <x v="61"/>
    <n v="0.55263157894736847"/>
  </r>
  <r>
    <s v="ORD-10428"/>
    <x v="38"/>
    <s v="Chloe Lewis"/>
    <s v="Chloe Lewis"/>
    <s v=" germany "/>
    <x v="3"/>
    <x v="9"/>
    <x v="1"/>
    <n v="2"/>
    <n v="65"/>
    <n v="31"/>
    <n v="0"/>
    <s v="Debit Card"/>
    <s v="Debit Card"/>
    <s v="Completed"/>
    <s v="Completed"/>
    <s v="Valid"/>
    <s v="chloe.lewis@example.com"/>
    <n v="130"/>
    <n v="62"/>
    <x v="120"/>
    <n v="0.52307692307692311"/>
  </r>
  <r>
    <s v="ORD-10288"/>
    <x v="138"/>
    <s v="Benjamin Walker"/>
    <s v="Benjamin Walker"/>
    <s v="U.K."/>
    <x v="2"/>
    <x v="6"/>
    <x v="1"/>
    <n v="2"/>
    <n v="42"/>
    <n v="21"/>
    <n v="0"/>
    <s v="Bank Transfer"/>
    <s v="Bank Transfer"/>
    <s v="Shipped"/>
    <s v="Shipped"/>
    <s v="Valid"/>
    <s v="benjamin.walker@example.com"/>
    <n v="84"/>
    <n v="42"/>
    <x v="90"/>
    <n v="0.5"/>
  </r>
  <r>
    <s v="ORD-10302"/>
    <x v="2"/>
    <s v="Noah Brown"/>
    <s v="Noah Brown"/>
    <s v=" singapore "/>
    <x v="5"/>
    <x v="10"/>
    <x v="3"/>
    <n v="4"/>
    <n v="245"/>
    <n v="150"/>
    <n v="0.15"/>
    <s v="Bank Transfer"/>
    <s v="Bank Transfer"/>
    <s v="Pending"/>
    <s v="Pending"/>
    <s v="Invalid"/>
    <s v="noah.brown@example"/>
    <n v="833"/>
    <n v="600"/>
    <x v="121"/>
    <n v="0.27971188475390157"/>
  </r>
  <r>
    <s v="ORD-10064"/>
    <x v="139"/>
    <s v=" ava thomas "/>
    <s v="Ava Thomas"/>
    <s v=" india "/>
    <x v="7"/>
    <x v="10"/>
    <x v="3"/>
    <n v="2"/>
    <n v="245"/>
    <n v="150"/>
    <n v="0"/>
    <s v="paypal"/>
    <s v="PayPal"/>
    <s v="Completed"/>
    <s v="Completed"/>
    <s v="Valid"/>
    <s v="ava.thomas@example.com"/>
    <n v="490"/>
    <n v="300"/>
    <x v="43"/>
    <n v="0.38775510204081631"/>
  </r>
  <r>
    <s v="ORD-10062"/>
    <x v="140"/>
    <s v="Liam Miller"/>
    <s v="Liam Miller"/>
    <s v="United Arab Emirates"/>
    <x v="0"/>
    <x v="11"/>
    <x v="3"/>
    <n v="4"/>
    <n v="175"/>
    <n v="105"/>
    <n v="0.1"/>
    <s v="credit card"/>
    <s v="Credit Card"/>
    <s v="Cancelled"/>
    <s v="Cancelled"/>
    <s v="Valid"/>
    <s v="liam.miller@example.com"/>
    <n v="630"/>
    <n v="420"/>
    <x v="59"/>
    <n v="0.33333333333333331"/>
  </r>
  <r>
    <s v="ORD-10300"/>
    <x v="12"/>
    <s v="Grace Moore"/>
    <s v="Grace Moore"/>
    <s v=" canada "/>
    <x v="6"/>
    <x v="5"/>
    <x v="3"/>
    <n v="3"/>
    <n v="85"/>
    <n v="44"/>
    <n v="0.05"/>
    <s v="credit card"/>
    <s v="Credit Card"/>
    <s v="Completed"/>
    <s v="Completed"/>
    <s v="Valid"/>
    <s v="grace.moore@example.com"/>
    <n v="242.25"/>
    <n v="132"/>
    <x v="122"/>
    <n v="0.45510835913312692"/>
  </r>
  <r>
    <s v="ORD-10376"/>
    <x v="141"/>
    <s v="Lucas Jackson"/>
    <s v="Lucas Jackson"/>
    <s v=" canada "/>
    <x v="6"/>
    <x v="5"/>
    <x v="3"/>
    <n v="5"/>
    <n v="85"/>
    <n v="44"/>
    <n v="0.05"/>
    <s v="Debit Card"/>
    <s v="Debit Card"/>
    <s v="Completed"/>
    <s v="Completed"/>
    <s v="Valid"/>
    <s v="lucas.jackson@example.com"/>
    <n v="403.75"/>
    <n v="220"/>
    <x v="93"/>
    <n v="0.45510835913312692"/>
  </r>
  <r>
    <s v="ORD-10234"/>
    <x v="142"/>
    <s v="James Thompson"/>
    <s v="James Thompson"/>
    <s v=" germany "/>
    <x v="3"/>
    <x v="6"/>
    <x v="1"/>
    <n v="3"/>
    <n v="42"/>
    <n v="21"/>
    <n v="0"/>
    <s v="credit card"/>
    <s v="Credit Card"/>
    <s v="Completed"/>
    <s v="Completed"/>
    <s v="Valid"/>
    <s v="james.thompson@example.com"/>
    <n v="126"/>
    <n v="63"/>
    <x v="11"/>
    <n v="0.5"/>
  </r>
  <r>
    <s v="ORD-10401"/>
    <x v="8"/>
    <s v="Chloe Lewis"/>
    <s v="Chloe Lewis"/>
    <s v="Canada"/>
    <x v="6"/>
    <x v="8"/>
    <x v="3"/>
    <n v="3"/>
    <n v="59"/>
    <n v="30"/>
    <n v="0"/>
    <s v="paypal"/>
    <s v="PayPal"/>
    <s v="Pending"/>
    <s v="Pending"/>
    <s v="Valid"/>
    <s v="chloe.lewis@example.com"/>
    <n v="177"/>
    <n v="90"/>
    <x v="78"/>
    <n v="0.49152542372881358"/>
  </r>
  <r>
    <s v="ORD-10082"/>
    <x v="143"/>
    <s v="Alex Morgan"/>
    <s v="Alex Morgan"/>
    <s v="UK"/>
    <x v="2"/>
    <x v="5"/>
    <x v="3"/>
    <n v="4"/>
    <n v="85"/>
    <n v="44"/>
    <n v="0.05"/>
    <s v="paypal"/>
    <s v="PayPal"/>
    <s v="Completed"/>
    <s v="Completed"/>
    <s v="Valid"/>
    <s v="alex.morgan@example.com"/>
    <n v="323"/>
    <n v="176"/>
    <x v="24"/>
    <n v="0.45510835913312692"/>
  </r>
  <r>
    <s v="ORD-10009"/>
    <x v="11"/>
    <s v="Noah Brown"/>
    <s v="Noah Brown"/>
    <s v=" canada "/>
    <x v="6"/>
    <x v="7"/>
    <x v="0"/>
    <n v="1"/>
    <n v="210"/>
    <n v="125"/>
    <n v="0.1"/>
    <s v="paypal"/>
    <s v="PayPal"/>
    <s v="Completed"/>
    <s v="Completed"/>
    <s v="Valid"/>
    <s v="noah.brown@example.com"/>
    <n v="189"/>
    <n v="125"/>
    <x v="114"/>
    <n v="0.33862433862433861"/>
  </r>
  <r>
    <s v="ORD-10261"/>
    <x v="144"/>
    <s v="James Thompson"/>
    <s v="James Thompson"/>
    <s v="Canada"/>
    <x v="6"/>
    <x v="6"/>
    <x v="1"/>
    <n v="2"/>
    <n v="42"/>
    <n v="21"/>
    <n v="0.1"/>
    <s v="Bank Transfer"/>
    <s v="Bank Transfer"/>
    <s v="Completed"/>
    <s v="Completed"/>
    <s v="Valid"/>
    <s v="james.thompson@example.com"/>
    <n v="75.600000000000009"/>
    <n v="42"/>
    <x v="123"/>
    <n v="0.44444444444444453"/>
  </r>
  <r>
    <s v="ORD-10324"/>
    <x v="84"/>
    <s v="Lucas Jackson"/>
    <s v="Lucas Jackson"/>
    <s v=" uae "/>
    <x v="0"/>
    <x v="1"/>
    <x v="1"/>
    <n v="4"/>
    <n v="38"/>
    <n v="17"/>
    <n v="0.05"/>
    <s v="paypal"/>
    <s v="PayPal"/>
    <s v="Completed"/>
    <s v="Completed"/>
    <s v="Invalid"/>
    <s v="lucas.jackson@example"/>
    <n v="144.4"/>
    <n v="68"/>
    <x v="51"/>
    <n v="0.52908587257617734"/>
  </r>
  <r>
    <s v="ORD-10195"/>
    <x v="145"/>
    <s v="Ella Martin"/>
    <s v="Ella Martin"/>
    <s v="United Arab Emirates"/>
    <x v="0"/>
    <x v="10"/>
    <x v="3"/>
    <n v="5"/>
    <n v="245"/>
    <n v="150"/>
    <n v="0.1"/>
    <s v="Debit Card"/>
    <s v="Debit Card"/>
    <s v="Cancelled"/>
    <s v="Cancelled"/>
    <s v="Valid"/>
    <s v="ella.martin@example.com"/>
    <n v="1102.5"/>
    <n v="750"/>
    <x v="124"/>
    <n v="0.31972789115646261"/>
  </r>
  <r>
    <s v="ORD-10310"/>
    <x v="74"/>
    <s v="Olivia Davis"/>
    <s v="Olivia Davis"/>
    <s v="US"/>
    <x v="4"/>
    <x v="8"/>
    <x v="3"/>
    <n v="4"/>
    <n v="59"/>
    <n v="30"/>
    <n v="0"/>
    <s v="credit card"/>
    <s v="Credit Card"/>
    <s v="Completed"/>
    <s v="Completed"/>
    <s v="Valid"/>
    <s v="olivia.davis@example.com"/>
    <n v="236"/>
    <n v="120"/>
    <x v="103"/>
    <n v="0.49152542372881358"/>
  </r>
  <r>
    <s v="ORD-10409"/>
    <x v="146"/>
    <s v="Daniel Harris"/>
    <s v="Daniel Harris"/>
    <s v=" uae "/>
    <x v="0"/>
    <x v="2"/>
    <x v="1"/>
    <n v="2"/>
    <n v="18"/>
    <n v="7"/>
    <n v="0.15"/>
    <s v="Debit Card"/>
    <s v="Debit Card"/>
    <s v="Pending"/>
    <s v="Pending"/>
    <s v="Invalid"/>
    <s v="daniel.harris@example"/>
    <n v="30.599999999999998"/>
    <n v="14"/>
    <x v="125"/>
    <n v="0.54248366013071891"/>
  </r>
  <r>
    <s v="ORD-10097"/>
    <x v="147"/>
    <s v="Ava Thomas"/>
    <s v="Ava Thomas"/>
    <s v="UAE"/>
    <x v="0"/>
    <x v="1"/>
    <x v="1"/>
    <n v="1"/>
    <n v="38"/>
    <n v="17"/>
    <n v="0"/>
    <s v="paypal"/>
    <s v="PayPal"/>
    <s v="Completed"/>
    <s v="Completed"/>
    <s v="Valid"/>
    <s v="ava.thomas@example.com"/>
    <n v="38"/>
    <n v="17"/>
    <x v="126"/>
    <n v="0.55263157894736847"/>
  </r>
  <r>
    <s v="ORD-10086"/>
    <x v="148"/>
    <s v="Alex Morgan"/>
    <s v="Alex Morgan"/>
    <s v="UK"/>
    <x v="2"/>
    <x v="3"/>
    <x v="2"/>
    <n v="4"/>
    <n v="92"/>
    <n v="53"/>
    <n v="0"/>
    <s v="Bank Transfer"/>
    <s v="Bank Transfer"/>
    <s v="Cancelled"/>
    <s v="Cancelled"/>
    <s v="Valid"/>
    <s v="alex.morgan@example.com"/>
    <n v="368"/>
    <n v="212"/>
    <x v="101"/>
    <n v="0.42391304347826086"/>
  </r>
  <r>
    <s v="ORD-10246"/>
    <x v="149"/>
    <s v=" benjamin walker "/>
    <s v="Benjamin Walker"/>
    <s v="Germany"/>
    <x v="3"/>
    <x v="7"/>
    <x v="0"/>
    <n v="1"/>
    <n v="210"/>
    <n v="125"/>
    <n v="0.05"/>
    <s v="Bank Transfer"/>
    <s v="Bank Transfer"/>
    <s v="Pending"/>
    <s v="Pending"/>
    <s v="Valid"/>
    <s v="benjamin.walker@example.com"/>
    <n v="199.5"/>
    <n v="125"/>
    <x v="9"/>
    <n v="0.37343358395989973"/>
  </r>
  <r>
    <s v="ORD-10157"/>
    <x v="27"/>
    <s v=" noah brown "/>
    <s v="Noah Brown"/>
    <s v="IN"/>
    <x v="7"/>
    <x v="1"/>
    <x v="1"/>
    <n v="4"/>
    <n v="38"/>
    <n v="17"/>
    <n v="0.05"/>
    <s v="paypal"/>
    <s v="PayPal"/>
    <s v="Completed"/>
    <s v="Completed"/>
    <s v="Valid"/>
    <s v="noah.brown@example.com"/>
    <n v="144.4"/>
    <n v="68"/>
    <x v="51"/>
    <n v="0.52908587257617734"/>
  </r>
  <r>
    <s v="ORD-10459"/>
    <x v="25"/>
    <s v="Noah Brown"/>
    <s v="Noah Brown"/>
    <s v=" canada "/>
    <x v="6"/>
    <x v="11"/>
    <x v="3"/>
    <n v="5"/>
    <n v="175"/>
    <n v="105"/>
    <n v="0.2"/>
    <s v="credit card"/>
    <s v="Credit Card"/>
    <s v="Pending"/>
    <s v="Pending"/>
    <s v="Valid"/>
    <s v="noah.brown@example.com"/>
    <n v="700"/>
    <n v="525"/>
    <x v="127"/>
    <n v="0.25"/>
  </r>
  <r>
    <s v="ORD-10270"/>
    <x v="28"/>
    <s v="Benjamin Walker"/>
    <s v="Benjamin Walker"/>
    <s v=" india "/>
    <x v="7"/>
    <x v="6"/>
    <x v="1"/>
    <n v="3"/>
    <n v="42"/>
    <n v="21"/>
    <n v="0.05"/>
    <s v="credit card"/>
    <s v="Credit Card"/>
    <s v="Pending"/>
    <s v="Pending"/>
    <s v="Valid"/>
    <s v="benjamin.walker@example.com"/>
    <n v="119.69999999999999"/>
    <n v="63"/>
    <x v="8"/>
    <n v="0.47368421052631576"/>
  </r>
  <r>
    <s v="ORD-10122"/>
    <x v="90"/>
    <s v="Chloe Lewis"/>
    <s v="Chloe Lewis"/>
    <s v=" uae "/>
    <x v="0"/>
    <x v="11"/>
    <x v="3"/>
    <n v="5"/>
    <n v="175"/>
    <n v="105"/>
    <n v="0.1"/>
    <s v="paypal"/>
    <s v="PayPal"/>
    <s v="Cancelled"/>
    <s v="Cancelled"/>
    <s v="Valid"/>
    <s v="chloe.lewis@example.com"/>
    <n v="787.5"/>
    <n v="525"/>
    <x v="106"/>
    <n v="0.33333333333333331"/>
  </r>
  <r>
    <s v="ORD-10485"/>
    <x v="150"/>
    <s v=" daniel harris "/>
    <s v="Daniel Harris"/>
    <s v="AUS"/>
    <x v="1"/>
    <x v="7"/>
    <x v="0"/>
    <n v="3"/>
    <n v="210"/>
    <n v="125"/>
    <n v="0"/>
    <s v="credit card"/>
    <s v="Credit Card"/>
    <s v="Completed"/>
    <s v="Completed"/>
    <s v="Valid"/>
    <s v="daniel.harris@example.com"/>
    <n v="630"/>
    <n v="375"/>
    <x v="94"/>
    <n v="0.40476190476190477"/>
  </r>
  <r>
    <s v="ORD-10038"/>
    <x v="135"/>
    <s v="Alex Morgan"/>
    <s v="Alex Morgan"/>
    <s v=" india "/>
    <x v="7"/>
    <x v="5"/>
    <x v="3"/>
    <n v="1"/>
    <n v="85"/>
    <n v="44"/>
    <n v="0.1"/>
    <s v="paypal"/>
    <s v="PayPal"/>
    <s v="Cancelled"/>
    <s v="Cancelled"/>
    <s v="Valid"/>
    <s v="alex.morgan@example.com"/>
    <n v="76.5"/>
    <n v="44"/>
    <x v="111"/>
    <n v="0.42483660130718953"/>
  </r>
  <r>
    <s v="ORD-10457"/>
    <x v="151"/>
    <s v="Liam Miller"/>
    <s v="Liam Miller"/>
    <s v="U.K."/>
    <x v="2"/>
    <x v="4"/>
    <x v="2"/>
    <n v="2"/>
    <n v="78"/>
    <n v="45"/>
    <n v="0.05"/>
    <s v="Bank Transfer"/>
    <s v="Bank Transfer"/>
    <s v="Completed"/>
    <s v="Completed"/>
    <s v="Valid"/>
    <s v="liam.miller@example.com"/>
    <n v="148.19999999999999"/>
    <n v="90"/>
    <x v="128"/>
    <n v="0.39271255060728738"/>
  </r>
  <r>
    <s v="ORD-10336"/>
    <x v="152"/>
    <s v=" lucas jackson "/>
    <s v="Lucas Jackson"/>
    <s v="Singapore"/>
    <x v="5"/>
    <x v="1"/>
    <x v="1"/>
    <n v="2"/>
    <n v="38"/>
    <n v="17"/>
    <n v="0.15"/>
    <s v="paypal"/>
    <s v="PayPal"/>
    <s v="Completed"/>
    <s v="Completed"/>
    <s v="Valid"/>
    <s v="lucas.jackson@example.com"/>
    <n v="64.599999999999994"/>
    <n v="34"/>
    <x v="63"/>
    <n v="0.47368421052631576"/>
  </r>
  <r>
    <s v="ORD-10165"/>
    <x v="11"/>
    <s v="Emma Wilson"/>
    <s v="Emma Wilson"/>
    <s v="United Kingdom"/>
    <x v="2"/>
    <x v="1"/>
    <x v="1"/>
    <n v="1"/>
    <n v="38"/>
    <n v="17"/>
    <n v="0.05"/>
    <s v="Debit Card"/>
    <s v="Debit Card"/>
    <s v="Completed"/>
    <s v="Completed"/>
    <s v="Valid"/>
    <s v="emma.wilson@example.com"/>
    <n v="36.1"/>
    <n v="17"/>
    <x v="119"/>
    <n v="0.52908587257617734"/>
  </r>
  <r>
    <s v="ORD-10322"/>
    <x v="153"/>
    <s v="Benjamin Walker"/>
    <s v="Benjamin Walker"/>
    <s v="CAN"/>
    <x v="6"/>
    <x v="9"/>
    <x v="1"/>
    <n v="4"/>
    <n v="65"/>
    <n v="31"/>
    <n v="0.1"/>
    <s v="credit card"/>
    <s v="Credit Card"/>
    <s v="Completed"/>
    <s v="Completed"/>
    <s v="Valid"/>
    <s v="benjamin.walker@example.com"/>
    <n v="234"/>
    <n v="124"/>
    <x v="64"/>
    <n v="0.47008547008547008"/>
  </r>
  <r>
    <s v="ORD-10138"/>
    <x v="154"/>
    <s v="Mia White"/>
    <s v="Mia White"/>
    <s v=" germany "/>
    <x v="3"/>
    <x v="3"/>
    <x v="2"/>
    <n v="3"/>
    <n v="92"/>
    <n v="53"/>
    <n v="0"/>
    <s v="Debit Card"/>
    <s v="Debit Card"/>
    <s v="Pending"/>
    <s v="Pending"/>
    <s v="Valid"/>
    <s v="mia.white@example.com"/>
    <n v="276"/>
    <n v="159"/>
    <x v="85"/>
    <n v="0.42391304347826086"/>
  </r>
  <r>
    <s v="ORD-10252"/>
    <x v="155"/>
    <s v="Liam Miller"/>
    <s v="Liam Miller"/>
    <s v="AUS"/>
    <x v="1"/>
    <x v="9"/>
    <x v="1"/>
    <n v="4"/>
    <n v="65"/>
    <n v="31"/>
    <n v="0.15"/>
    <s v="credit card"/>
    <s v="Credit Card"/>
    <s v="Shipped"/>
    <s v="Shipped"/>
    <s v="Valid"/>
    <s v="liam.miller@example.com"/>
    <n v="221"/>
    <n v="124"/>
    <x v="129"/>
    <n v="0.43891402714932126"/>
  </r>
  <r>
    <s v="ORD-10027"/>
    <x v="70"/>
    <s v="Ava Thomas"/>
    <s v="Ava Thomas"/>
    <s v="U.A.E."/>
    <x v="0"/>
    <x v="11"/>
    <x v="3"/>
    <n v="5"/>
    <n v="175"/>
    <n v="105"/>
    <n v="0.05"/>
    <s v="paypal"/>
    <s v="PayPal"/>
    <s v="Cancelled"/>
    <s v="Cancelled"/>
    <s v="Valid"/>
    <s v="ava.thomas@example.com"/>
    <n v="831.25"/>
    <n v="525"/>
    <x v="62"/>
    <n v="0.36842105263157893"/>
  </r>
  <r>
    <s v="ORD-10427"/>
    <x v="55"/>
    <s v="Chloe Lewis"/>
    <s v="Chloe Lewis"/>
    <s v="Germany"/>
    <x v="3"/>
    <x v="11"/>
    <x v="3"/>
    <n v="1"/>
    <n v="175"/>
    <n v="105"/>
    <n v="0.1"/>
    <s v="credit card"/>
    <s v="Credit Card"/>
    <s v="Completed"/>
    <s v="Completed"/>
    <s v="Valid"/>
    <s v="chloe.lewis@example.com"/>
    <n v="157.5"/>
    <n v="105"/>
    <x v="130"/>
    <n v="0.33333333333333331"/>
  </r>
  <r>
    <s v="ORD-10260"/>
    <x v="31"/>
    <s v="Ava Thomas"/>
    <s v="Ava Thomas"/>
    <s v=" canada "/>
    <x v="6"/>
    <x v="6"/>
    <x v="1"/>
    <n v="3"/>
    <n v="42"/>
    <n v="21"/>
    <n v="0.05"/>
    <s v="paypal"/>
    <s v="PayPal"/>
    <s v="Pending"/>
    <s v="Pending"/>
    <s v="Valid"/>
    <s v="ava.thomas@example.com"/>
    <n v="119.69999999999999"/>
    <n v="63"/>
    <x v="8"/>
    <n v="0.47368421052631576"/>
  </r>
  <r>
    <s v="ORD-10180"/>
    <x v="76"/>
    <s v=" daniel harris "/>
    <s v="Daniel Harris"/>
    <s v=" australia"/>
    <x v="1"/>
    <x v="9"/>
    <x v="1"/>
    <n v="3"/>
    <n v="65"/>
    <n v="31"/>
    <n v="0.05"/>
    <s v="Debit Card"/>
    <s v="Debit Card"/>
    <s v="Cancelled"/>
    <s v="Cancelled"/>
    <s v="Valid"/>
    <s v="daniel.harris@example.com"/>
    <n v="185.25"/>
    <n v="93"/>
    <x v="131"/>
    <n v="0.49797570850202427"/>
  </r>
  <r>
    <s v="ORD-10402"/>
    <x v="40"/>
    <s v="Noah Brown"/>
    <s v="Noah Brown"/>
    <s v="India"/>
    <x v="7"/>
    <x v="1"/>
    <x v="1"/>
    <n v="3"/>
    <n v="38"/>
    <n v="17"/>
    <n v="0"/>
    <s v="paypal"/>
    <s v="PayPal"/>
    <s v="Cancelled"/>
    <s v="Cancelled"/>
    <s v="Valid"/>
    <s v="noah.brown@example.com"/>
    <n v="114"/>
    <n v="51"/>
    <x v="11"/>
    <n v="0.55263157894736847"/>
  </r>
  <r>
    <s v="ORD-10475"/>
    <x v="26"/>
    <s v="James Thompson"/>
    <s v="James Thompson"/>
    <s v="CAN"/>
    <x v="6"/>
    <x v="4"/>
    <x v="2"/>
    <n v="2"/>
    <n v="78"/>
    <n v="45"/>
    <n v="0.1"/>
    <s v="Bank Transfer"/>
    <s v="Bank Transfer"/>
    <s v="Completed"/>
    <s v="Completed"/>
    <s v="Valid"/>
    <s v="james.thompson@example.com"/>
    <n v="140.4"/>
    <n v="90"/>
    <x v="107"/>
    <n v="0.35897435897435898"/>
  </r>
  <r>
    <s v="ORD-10303"/>
    <x v="156"/>
    <s v="James Thompson"/>
    <s v="James Thompson"/>
    <s v=" singapore "/>
    <x v="5"/>
    <x v="8"/>
    <x v="3"/>
    <n v="1"/>
    <n v="59"/>
    <n v="30"/>
    <n v="0.05"/>
    <m/>
    <s v="Unknown"/>
    <s v="Completed"/>
    <s v="Completed"/>
    <s v="Valid"/>
    <s v="james.thompson@example.com"/>
    <n v="56.05"/>
    <n v="30"/>
    <x v="132"/>
    <n v="0.46476360392506688"/>
  </r>
  <r>
    <s v="ORD-10070"/>
    <x v="154"/>
    <s v="Noah Brown"/>
    <s v="Noah Brown"/>
    <s v=" india "/>
    <x v="7"/>
    <x v="1"/>
    <x v="1"/>
    <n v="4"/>
    <n v="38"/>
    <n v="17"/>
    <n v="0"/>
    <s v="paypal"/>
    <s v="PayPal"/>
    <s v="Cancelled"/>
    <s v="Cancelled"/>
    <s v="Valid"/>
    <s v="noah.brown@example.com"/>
    <n v="152"/>
    <n v="68"/>
    <x v="1"/>
    <n v="0.55263157894736847"/>
  </r>
  <r>
    <s v="ORD-10016"/>
    <x v="157"/>
    <s v="Henry Clark"/>
    <s v="Henry Clark"/>
    <s v="Canada"/>
    <x v="6"/>
    <x v="2"/>
    <x v="1"/>
    <n v="2"/>
    <n v="18"/>
    <n v="7"/>
    <n v="0"/>
    <s v="Debit Card"/>
    <s v="Debit Card"/>
    <s v="Completed"/>
    <s v="Completed"/>
    <s v="Valid"/>
    <s v="henry.clark@example.com"/>
    <n v="36"/>
    <n v="14"/>
    <x v="65"/>
    <n v="0.61111111111111116"/>
  </r>
  <r>
    <s v="ORD-10325"/>
    <x v="158"/>
    <s v="Emma Wilson"/>
    <s v="Emma Wilson"/>
    <s v="CAN"/>
    <x v="6"/>
    <x v="3"/>
    <x v="2"/>
    <n v="1"/>
    <n v="92"/>
    <n v="53"/>
    <n v="0.2"/>
    <s v="credit card"/>
    <s v="Credit Card"/>
    <s v="Completed"/>
    <s v="Completed"/>
    <s v="Valid"/>
    <s v="emma.wilson@example.com"/>
    <n v="73.600000000000009"/>
    <n v="53"/>
    <x v="19"/>
    <n v="0.27989130434782616"/>
  </r>
  <r>
    <s v="ORD-10510"/>
    <x v="159"/>
    <s v="Benjamin Walker"/>
    <s v="Benjamin Walker"/>
    <s v=" australia"/>
    <x v="1"/>
    <x v="11"/>
    <x v="3"/>
    <n v="4"/>
    <n v="175"/>
    <n v="105"/>
    <n v="0"/>
    <s v="credit card"/>
    <s v="Credit Card"/>
    <s v="Cancelled"/>
    <s v="Cancelled"/>
    <s v="Valid"/>
    <s v="benjamin.walker@example.com"/>
    <n v="700"/>
    <n v="420"/>
    <x v="133"/>
    <n v="0.4"/>
  </r>
  <r>
    <s v="ORD-10469"/>
    <x v="160"/>
    <s v="Olivia Davis"/>
    <s v="Olivia Davis"/>
    <s v=" singapore "/>
    <x v="5"/>
    <x v="6"/>
    <x v="1"/>
    <n v="2"/>
    <n v="42"/>
    <n v="21"/>
    <n v="0"/>
    <s v="Bank Transfer"/>
    <s v="Bank Transfer"/>
    <s v="Completed"/>
    <s v="Completed"/>
    <s v="Valid"/>
    <s v="olivia.davis@example.com"/>
    <n v="84"/>
    <n v="42"/>
    <x v="90"/>
    <n v="0.5"/>
  </r>
  <r>
    <s v="ORD-10276"/>
    <x v="161"/>
    <s v="Henry Clark"/>
    <s v="Henry Clark"/>
    <s v="US"/>
    <x v="4"/>
    <x v="1"/>
    <x v="1"/>
    <n v="1"/>
    <n v="38"/>
    <n v="17"/>
    <n v="0.05"/>
    <s v="credit card"/>
    <s v="Credit Card"/>
    <s v="Cancelled"/>
    <s v="Cancelled"/>
    <s v="Missing"/>
    <m/>
    <n v="36.1"/>
    <n v="17"/>
    <x v="119"/>
    <n v="0.52908587257617734"/>
  </r>
  <r>
    <s v="ORD-10037"/>
    <x v="162"/>
    <s v="Lucas Jackson"/>
    <s v="Lucas Jackson"/>
    <s v="UK"/>
    <x v="2"/>
    <x v="8"/>
    <x v="3"/>
    <n v="5"/>
    <n v="59"/>
    <n v="30"/>
    <n v="0"/>
    <s v="paypal"/>
    <s v="PayPal"/>
    <s v="Completed"/>
    <s v="Completed"/>
    <s v="Valid"/>
    <s v="lucas.jackson@example.com"/>
    <n v="295"/>
    <n v="150"/>
    <x v="134"/>
    <n v="0.49152542372881358"/>
  </r>
  <r>
    <s v="ORD-10421"/>
    <x v="43"/>
    <s v="Grace Moore"/>
    <s v="Grace Moore"/>
    <s v="U.A.E."/>
    <x v="0"/>
    <x v="8"/>
    <x v="3"/>
    <n v="3"/>
    <n v="59"/>
    <n v="30"/>
    <n v="0.1"/>
    <s v="credit card"/>
    <s v="Credit Card"/>
    <s v="Shipped"/>
    <s v="Shipped"/>
    <s v="Valid"/>
    <s v="grace.moore@example.com"/>
    <n v="159.30000000000001"/>
    <n v="90"/>
    <x v="108"/>
    <n v="0.43502824858757067"/>
  </r>
  <r>
    <s v="ORD-10522"/>
    <x v="120"/>
    <s v="James Thompson"/>
    <s v="James Thompson"/>
    <s v="Australia"/>
    <x v="1"/>
    <x v="11"/>
    <x v="3"/>
    <n v="4"/>
    <n v="175"/>
    <n v="105"/>
    <n v="0.1"/>
    <s v="credit card"/>
    <s v="Credit Card"/>
    <s v="Pending"/>
    <s v="Pending"/>
    <s v="Valid"/>
    <s v="james.thompson@example.com"/>
    <n v="630"/>
    <n v="420"/>
    <x v="59"/>
    <n v="0.33333333333333331"/>
  </r>
  <r>
    <s v="ORD-10433"/>
    <x v="47"/>
    <s v="Benjamin Walker"/>
    <s v="Benjamin Walker"/>
    <s v="U.K."/>
    <x v="2"/>
    <x v="6"/>
    <x v="1"/>
    <n v="3"/>
    <n v="42"/>
    <n v="21"/>
    <n v="0.1"/>
    <s v="Debit Card"/>
    <s v="Debit Card"/>
    <s v="Pending"/>
    <s v="Pending"/>
    <s v="Valid"/>
    <s v="benjamin.walker@example.com"/>
    <n v="113.4"/>
    <n v="63"/>
    <x v="107"/>
    <n v="0.44444444444444448"/>
  </r>
  <r>
    <s v="ORD-10059"/>
    <x v="163"/>
    <s v="James Thompson"/>
    <s v="James Thompson"/>
    <s v=" singapore "/>
    <x v="5"/>
    <x v="5"/>
    <x v="3"/>
    <n v="1"/>
    <n v="85"/>
    <n v="44"/>
    <n v="0"/>
    <s v="credit card"/>
    <s v="Credit Card"/>
    <s v="Completed"/>
    <s v="Completed"/>
    <s v="Valid"/>
    <s v="james.thompson@example.com"/>
    <n v="85"/>
    <n v="44"/>
    <x v="135"/>
    <n v="0.4823529411764706"/>
  </r>
  <r>
    <s v="ORD-10235"/>
    <x v="164"/>
    <s v="Liam Miller"/>
    <s v="Liam Miller"/>
    <s v="CAN"/>
    <x v="6"/>
    <x v="4"/>
    <x v="2"/>
    <n v="5"/>
    <n v="78"/>
    <n v="45"/>
    <n v="0.15"/>
    <s v="Debit Card"/>
    <s v="Debit Card"/>
    <s v="Cancelled"/>
    <s v="Cancelled"/>
    <s v="Valid"/>
    <s v="liam.miller@example.com"/>
    <n v="331.5"/>
    <n v="225"/>
    <x v="136"/>
    <n v="0.32126696832579188"/>
  </r>
  <r>
    <s v="ORD-10108"/>
    <x v="165"/>
    <s v="Liam Miller"/>
    <s v="Liam Miller"/>
    <m/>
    <x v="8"/>
    <x v="0"/>
    <x v="0"/>
    <n v="2"/>
    <n v="36"/>
    <n v="16"/>
    <n v="0.15"/>
    <s v="Bank Transfer"/>
    <s v="Bank Transfer"/>
    <s v="Completed"/>
    <s v="Completed"/>
    <s v="Valid"/>
    <s v="liam.miller@example.com"/>
    <n v="61.199999999999996"/>
    <n v="32"/>
    <x v="6"/>
    <n v="0.47712418300653592"/>
  </r>
  <r>
    <s v="ORD-10412"/>
    <x v="166"/>
    <s v="Mia White"/>
    <s v="Mia White"/>
    <s v="SG"/>
    <x v="5"/>
    <x v="8"/>
    <x v="3"/>
    <n v="4"/>
    <n v="59"/>
    <n v="30"/>
    <n v="0.1"/>
    <s v="paypal"/>
    <s v="PayPal"/>
    <s v="Completed"/>
    <s v="Completed"/>
    <s v="Valid"/>
    <s v="mia.white@example.com"/>
    <n v="212.4"/>
    <n v="120"/>
    <x v="58"/>
    <n v="0.43502824858757061"/>
  </r>
  <r>
    <s v="ORD-10345"/>
    <x v="167"/>
    <s v="Benjamin Walker"/>
    <s v="Benjamin Walker"/>
    <s v="USA"/>
    <x v="4"/>
    <x v="3"/>
    <x v="2"/>
    <n v="3"/>
    <n v="92"/>
    <n v="53"/>
    <n v="0.05"/>
    <s v="Bank Transfer"/>
    <s v="Bank Transfer"/>
    <s v="Completed"/>
    <s v="Completed"/>
    <s v="Valid"/>
    <s v="benjamin.walker@example.com"/>
    <n v="262.2"/>
    <n v="159"/>
    <x v="137"/>
    <n v="0.39359267734553771"/>
  </r>
  <r>
    <s v="ORD-10343"/>
    <x v="17"/>
    <s v="Grace Moore"/>
    <s v="Grace Moore"/>
    <s v=" uae "/>
    <x v="0"/>
    <x v="9"/>
    <x v="1"/>
    <n v="5"/>
    <n v="65"/>
    <n v="31"/>
    <n v="0.1"/>
    <s v="Debit Card"/>
    <s v="Debit Card"/>
    <s v="Pending"/>
    <s v="Pending"/>
    <s v="Valid"/>
    <s v="grace.moore@example.com"/>
    <n v="292.5"/>
    <n v="155"/>
    <x v="138"/>
    <n v="0.47008547008547008"/>
  </r>
  <r>
    <s v="ORD-10443"/>
    <x v="168"/>
    <s v="James Thompson"/>
    <s v="James Thompson"/>
    <s v="Singapore"/>
    <x v="5"/>
    <x v="8"/>
    <x v="3"/>
    <n v="5"/>
    <n v="59"/>
    <n v="30"/>
    <n v="0"/>
    <s v="Bank Transfer"/>
    <s v="Bank Transfer"/>
    <s v="Completed"/>
    <s v="Completed"/>
    <s v="Valid"/>
    <s v="james.thompson@example.com"/>
    <n v="295"/>
    <n v="150"/>
    <x v="134"/>
    <n v="0.49152542372881358"/>
  </r>
  <r>
    <s v="ORD-10125"/>
    <x v="101"/>
    <s v=" emma wilson "/>
    <s v="Emma Wilson"/>
    <s v="India"/>
    <x v="7"/>
    <x v="2"/>
    <x v="1"/>
    <n v="5"/>
    <n v="18"/>
    <n v="7"/>
    <n v="0.05"/>
    <s v="paypal"/>
    <s v="PayPal"/>
    <s v="Completed"/>
    <s v="Completed"/>
    <s v="Invalid"/>
    <s v="emma.wilson@example"/>
    <n v="85.5"/>
    <n v="35"/>
    <x v="139"/>
    <n v="0.59064327485380119"/>
  </r>
  <r>
    <s v="ORD-10093"/>
    <x v="146"/>
    <s v="Olivia Davis"/>
    <s v="Olivia Davis"/>
    <s v="DE"/>
    <x v="3"/>
    <x v="0"/>
    <x v="0"/>
    <n v="2"/>
    <n v="36"/>
    <n v="16"/>
    <n v="0"/>
    <s v="credit card"/>
    <s v="Credit Card"/>
    <s v="Completed"/>
    <s v="Completed"/>
    <s v="Valid"/>
    <s v="olivia.davis@example.com"/>
    <n v="72"/>
    <n v="32"/>
    <x v="140"/>
    <n v="0.55555555555555558"/>
  </r>
  <r>
    <s v="ORD-10391"/>
    <x v="169"/>
    <s v="Ella Martin"/>
    <s v="Ella Martin"/>
    <s v="USA"/>
    <x v="4"/>
    <x v="1"/>
    <x v="1"/>
    <n v="3"/>
    <n v="38"/>
    <n v="17"/>
    <n v="0.1"/>
    <s v="credit card"/>
    <s v="Credit Card"/>
    <s v="Shipped"/>
    <s v="Shipped"/>
    <s v="Valid"/>
    <s v="ella.martin@example.com"/>
    <n v="102.60000000000001"/>
    <n v="51"/>
    <x v="116"/>
    <n v="0.50292397660818722"/>
  </r>
  <r>
    <s v="ORD-10338"/>
    <x v="170"/>
    <s v="Grace Moore"/>
    <s v="Grace Moore"/>
    <s v="Singapore"/>
    <x v="5"/>
    <x v="0"/>
    <x v="0"/>
    <n v="2"/>
    <n v="36"/>
    <n v="16"/>
    <n v="0.15"/>
    <s v="paypal"/>
    <s v="PayPal"/>
    <s v="Shipped"/>
    <s v="Shipped"/>
    <s v="Valid"/>
    <s v="grace.moore@example.com"/>
    <n v="61.199999999999996"/>
    <n v="32"/>
    <x v="6"/>
    <n v="0.47712418300653592"/>
  </r>
  <r>
    <s v="ORD-10308"/>
    <x v="171"/>
    <s v="Olivia Davis"/>
    <s v="Olivia Davis"/>
    <s v=" united states "/>
    <x v="4"/>
    <x v="6"/>
    <x v="1"/>
    <n v="3"/>
    <n v="42"/>
    <n v="21"/>
    <n v="0.15"/>
    <s v="Bank Transfer"/>
    <s v="Bank Transfer"/>
    <s v="Cancelled"/>
    <s v="Cancelled"/>
    <s v="Valid"/>
    <s v="olivia.davis@example.com"/>
    <n v="107.1"/>
    <n v="63"/>
    <x v="141"/>
    <n v="0.41176470588235292"/>
  </r>
  <r>
    <s v="ORD-10148"/>
    <x v="172"/>
    <s v="Ella Martin"/>
    <s v="Ella Martin"/>
    <s v="India"/>
    <x v="7"/>
    <x v="6"/>
    <x v="1"/>
    <n v="1"/>
    <n v="42"/>
    <n v="21"/>
    <n v="0.1"/>
    <s v="Debit Card"/>
    <s v="Debit Card"/>
    <s v="Completed"/>
    <s v="Completed"/>
    <s v="Valid"/>
    <s v="ella.martin@example.com"/>
    <n v="37.800000000000004"/>
    <n v="21"/>
    <x v="142"/>
    <n v="0.44444444444444453"/>
  </r>
  <r>
    <s v="ORD-10478"/>
    <x v="25"/>
    <s v="Ella Martin"/>
    <s v="Ella Martin"/>
    <s v="India"/>
    <x v="7"/>
    <x v="9"/>
    <x v="1"/>
    <n v="2"/>
    <n v="65"/>
    <n v="31"/>
    <n v="0.05"/>
    <s v="credit card"/>
    <s v="Credit Card"/>
    <s v="Completed"/>
    <s v="Completed"/>
    <s v="Valid"/>
    <s v="ella.martin@example.com"/>
    <n v="123.5"/>
    <n v="62"/>
    <x v="143"/>
    <n v="0.49797570850202427"/>
  </r>
  <r>
    <s v="ORD-10375"/>
    <x v="173"/>
    <s v="Mia White"/>
    <s v="Mia White"/>
    <s v="UAE"/>
    <x v="0"/>
    <x v="11"/>
    <x v="3"/>
    <n v="5"/>
    <n v="175"/>
    <n v="105"/>
    <n v="0"/>
    <s v="credit card"/>
    <s v="Credit Card"/>
    <s v="Completed"/>
    <s v="Completed"/>
    <s v="Valid"/>
    <s v="mia.white@example.com"/>
    <n v="875"/>
    <n v="525"/>
    <x v="144"/>
    <n v="0.4"/>
  </r>
  <r>
    <s v="ORD-10213"/>
    <x v="174"/>
    <s v="Ella Martin"/>
    <s v="Ella Martin"/>
    <s v="Australia"/>
    <x v="1"/>
    <x v="2"/>
    <x v="1"/>
    <n v="5"/>
    <n v="18"/>
    <n v="7"/>
    <n v="0"/>
    <s v="credit card"/>
    <s v="Credit Card"/>
    <s v="Cancelled"/>
    <s v="Cancelled"/>
    <s v="Valid"/>
    <s v="ella.martin@example.com"/>
    <n v="90"/>
    <n v="35"/>
    <x v="17"/>
    <n v="0.61111111111111116"/>
  </r>
  <r>
    <s v="ORD-10455"/>
    <x v="168"/>
    <s v="Sophia Taylor"/>
    <s v="Sophia Taylor"/>
    <s v="IN"/>
    <x v="7"/>
    <x v="3"/>
    <x v="2"/>
    <n v="3"/>
    <n v="92"/>
    <n v="53"/>
    <n v="0"/>
    <s v="credit card"/>
    <s v="Credit Card"/>
    <s v="Cancelled"/>
    <s v="Cancelled"/>
    <s v="Valid"/>
    <s v="sophia.taylor@example.com"/>
    <n v="276"/>
    <n v="159"/>
    <x v="85"/>
    <n v="0.42391304347826086"/>
  </r>
  <r>
    <s v="ORD-10135"/>
    <x v="16"/>
    <s v=" henry clark "/>
    <s v="Henry Clark"/>
    <s v="Canada"/>
    <x v="6"/>
    <x v="8"/>
    <x v="3"/>
    <n v="3"/>
    <n v="59"/>
    <n v="30"/>
    <n v="0"/>
    <s v="paypal"/>
    <s v="PayPal"/>
    <s v="Cancelled"/>
    <s v="Cancelled"/>
    <s v="Valid"/>
    <s v="henry.clark@example.com"/>
    <n v="177"/>
    <n v="90"/>
    <x v="78"/>
    <n v="0.49152542372881358"/>
  </r>
  <r>
    <s v="ORD-10394"/>
    <x v="175"/>
    <s v="Lily Hall"/>
    <s v="Lily Hall"/>
    <s v="UK"/>
    <x v="2"/>
    <x v="2"/>
    <x v="1"/>
    <n v="2"/>
    <n v="18"/>
    <n v="7"/>
    <n v="0"/>
    <s v="credit card"/>
    <s v="Credit Card"/>
    <s v="Pending"/>
    <s v="Pending"/>
    <s v="Valid"/>
    <s v="lily.hall@example.com"/>
    <n v="36"/>
    <n v="14"/>
    <x v="65"/>
    <n v="0.61111111111111116"/>
  </r>
  <r>
    <s v="ORD-10295"/>
    <x v="82"/>
    <s v="Benjamin Walker"/>
    <s v="Benjamin Walker"/>
    <s v="India"/>
    <x v="7"/>
    <x v="3"/>
    <x v="2"/>
    <n v="4"/>
    <n v="92"/>
    <n v="53"/>
    <n v="0"/>
    <s v="paypal"/>
    <s v="PayPal"/>
    <s v="Completed"/>
    <s v="Completed"/>
    <s v="Valid"/>
    <s v="benjamin.walker@example.com"/>
    <n v="368"/>
    <n v="212"/>
    <x v="101"/>
    <n v="0.42391304347826086"/>
  </r>
  <r>
    <s v="ORD-10075"/>
    <x v="124"/>
    <s v="James Thompson"/>
    <s v="James Thompson"/>
    <s v="Canada"/>
    <x v="6"/>
    <x v="11"/>
    <x v="3"/>
    <n v="3"/>
    <n v="175"/>
    <n v="105"/>
    <n v="0.05"/>
    <s v="Bank Transfer"/>
    <s v="Bank Transfer"/>
    <s v="Completed"/>
    <s v="Completed"/>
    <s v="Valid"/>
    <s v="james.thompson@example.com"/>
    <n v="498.75"/>
    <n v="315"/>
    <x v="93"/>
    <n v="0.36842105263157893"/>
  </r>
  <r>
    <s v="ORD-10453"/>
    <x v="176"/>
    <s v=" chloe lewis "/>
    <s v="Chloe Lewis"/>
    <s v=" india "/>
    <x v="7"/>
    <x v="1"/>
    <x v="1"/>
    <n v="3"/>
    <n v="38"/>
    <n v="17"/>
    <n v="0"/>
    <s v="credit card"/>
    <s v="Credit Card"/>
    <s v="Shipped"/>
    <s v="Shipped"/>
    <s v="Valid"/>
    <s v="chloe.lewis@example.com"/>
    <n v="114"/>
    <n v="51"/>
    <x v="11"/>
    <n v="0.55263157894736847"/>
  </r>
  <r>
    <s v="ORD-10541"/>
    <x v="177"/>
    <s v="Benjamin Walker"/>
    <s v="Benjamin Walker"/>
    <s v=" singapore "/>
    <x v="5"/>
    <x v="9"/>
    <x v="1"/>
    <n v="5"/>
    <n v="65"/>
    <n v="31"/>
    <n v="0"/>
    <s v="Bank Transfer"/>
    <s v="Bank Transfer"/>
    <s v="Completed"/>
    <s v="Completed"/>
    <s v="Valid"/>
    <s v="benjamin.walker@example.com"/>
    <n v="325"/>
    <n v="155"/>
    <x v="67"/>
    <n v="0.52307692307692311"/>
  </r>
  <r>
    <s v="ORD-10359"/>
    <x v="178"/>
    <s v="Lucas Jackson"/>
    <s v="Lucas Jackson"/>
    <s v="CAN"/>
    <x v="6"/>
    <x v="11"/>
    <x v="3"/>
    <n v="5"/>
    <n v="175"/>
    <n v="105"/>
    <n v="0.15"/>
    <s v="Debit Card"/>
    <s v="Debit Card"/>
    <s v="Completed"/>
    <s v="Completed"/>
    <s v="Valid"/>
    <s v="lucas.jackson@example.com"/>
    <n v="743.75"/>
    <n v="525"/>
    <x v="53"/>
    <n v="0.29411764705882354"/>
  </r>
  <r>
    <s v="ORD-10005"/>
    <x v="179"/>
    <s v="Emma Wilson"/>
    <s v="Emma Wilson"/>
    <s v="United Arab Emirates"/>
    <x v="0"/>
    <x v="0"/>
    <x v="0"/>
    <n v="2"/>
    <n v="36"/>
    <n v="16"/>
    <n v="0.05"/>
    <s v="paypal"/>
    <s v="PayPal"/>
    <s v="Completed"/>
    <s v="Completed"/>
    <s v="Valid"/>
    <s v="emma.wilson@example.com"/>
    <n v="68.399999999999991"/>
    <n v="32"/>
    <x v="145"/>
    <n v="0.53216374269005839"/>
  </r>
  <r>
    <s v="ORD-10066"/>
    <x v="180"/>
    <s v="Emma Wilson"/>
    <s v="Emma Wilson"/>
    <s v="SG"/>
    <x v="5"/>
    <x v="11"/>
    <x v="3"/>
    <n v="5"/>
    <n v="175"/>
    <n v="105"/>
    <n v="0.05"/>
    <s v="Debit Card"/>
    <s v="Debit Card"/>
    <s v="Pending"/>
    <s v="Pending"/>
    <s v="Valid"/>
    <s v="emma.wilson@example.com"/>
    <n v="831.25"/>
    <n v="525"/>
    <x v="62"/>
    <n v="0.36842105263157893"/>
  </r>
  <r>
    <s v="ORD-10329"/>
    <x v="31"/>
    <s v="Sophia Taylor"/>
    <s v="Sophia Taylor"/>
    <s v="United States"/>
    <x v="4"/>
    <x v="8"/>
    <x v="3"/>
    <n v="2"/>
    <n v="59"/>
    <n v="30"/>
    <n v="0.05"/>
    <s v="Debit Card"/>
    <s v="Debit Card"/>
    <s v="Pending"/>
    <s v="Pending"/>
    <s v="Valid"/>
    <s v="sophia.taylor@example.com"/>
    <n v="112.1"/>
    <n v="60"/>
    <x v="47"/>
    <n v="0.46476360392506688"/>
  </r>
  <r>
    <s v="ORD-10543"/>
    <x v="67"/>
    <s v="Ava Thomas"/>
    <s v="Ava Thomas"/>
    <s v="Canada"/>
    <x v="6"/>
    <x v="5"/>
    <x v="3"/>
    <n v="1"/>
    <n v="85"/>
    <n v="44"/>
    <n v="0.2"/>
    <s v="Bank Transfer"/>
    <s v="Bank Transfer"/>
    <s v="Completed"/>
    <s v="Completed"/>
    <s v="Valid"/>
    <s v="ava.thomas@example.com"/>
    <n v="68"/>
    <n v="44"/>
    <x v="146"/>
    <n v="0.35294117647058826"/>
  </r>
  <r>
    <s v="ORD-10130"/>
    <x v="144"/>
    <s v="Ava Thomas"/>
    <s v="Ava Thomas"/>
    <s v="SG"/>
    <x v="5"/>
    <x v="3"/>
    <x v="2"/>
    <n v="4"/>
    <n v="92"/>
    <n v="53"/>
    <n v="0"/>
    <s v="credit card"/>
    <s v="Credit Card"/>
    <s v="Pending"/>
    <s v="Pending"/>
    <s v="Valid"/>
    <s v="ava.thomas@example.com"/>
    <n v="368"/>
    <n v="212"/>
    <x v="101"/>
    <n v="0.42391304347826086"/>
  </r>
  <r>
    <s v="ORD-10231"/>
    <x v="181"/>
    <s v="Chloe Lewis"/>
    <s v="Chloe Lewis"/>
    <s v="Singapore"/>
    <x v="5"/>
    <x v="8"/>
    <x v="3"/>
    <n v="4"/>
    <n v="59"/>
    <n v="30"/>
    <n v="0.05"/>
    <s v="credit card"/>
    <s v="Credit Card"/>
    <s v="Completed"/>
    <s v="Completed"/>
    <s v="Valid"/>
    <s v="chloe.lewis@example.com"/>
    <n v="224.2"/>
    <n v="120"/>
    <x v="147"/>
    <n v="0.46476360392506688"/>
  </r>
  <r>
    <s v="ORD-10013"/>
    <x v="182"/>
    <s v="Olivia Davis"/>
    <s v="Olivia Davis"/>
    <s v="SG"/>
    <x v="5"/>
    <x v="8"/>
    <x v="3"/>
    <n v="5"/>
    <n v="59"/>
    <n v="30"/>
    <n v="0.05"/>
    <s v="Bank Transfer"/>
    <s v="Bank Transfer"/>
    <s v="Completed"/>
    <s v="Completed"/>
    <s v="Valid"/>
    <s v="olivia.davis@example.com"/>
    <n v="280.25"/>
    <n v="150"/>
    <x v="148"/>
    <n v="0.46476360392506688"/>
  </r>
  <r>
    <s v="ORD-10548"/>
    <x v="183"/>
    <s v="Henry Clark"/>
    <s v="Henry Clark"/>
    <s v="United States"/>
    <x v="4"/>
    <x v="1"/>
    <x v="1"/>
    <n v="5"/>
    <n v="38"/>
    <n v="17"/>
    <n v="0.2"/>
    <s v="paypal"/>
    <s v="PayPal"/>
    <s v="Completed"/>
    <s v="Completed"/>
    <s v="Valid"/>
    <s v="henry.clark@example.com"/>
    <n v="152"/>
    <n v="85"/>
    <x v="149"/>
    <n v="0.44078947368421051"/>
  </r>
  <r>
    <s v="ORD-10472"/>
    <x v="14"/>
    <s v="Emma Wilson"/>
    <s v="Emma Wilson"/>
    <s v="United States"/>
    <x v="4"/>
    <x v="6"/>
    <x v="1"/>
    <n v="5"/>
    <n v="42"/>
    <n v="21"/>
    <n v="0.15"/>
    <s v="paypal"/>
    <s v="PayPal"/>
    <s v="Completed"/>
    <s v="Completed"/>
    <s v="Valid"/>
    <s v="emma.wilson@example.com"/>
    <n v="178.5"/>
    <n v="105"/>
    <x v="150"/>
    <n v="0.41176470588235292"/>
  </r>
  <r>
    <s v="ORD-10267"/>
    <x v="100"/>
    <s v="Olivia Davis"/>
    <s v="Olivia Davis"/>
    <s v="India"/>
    <x v="7"/>
    <x v="5"/>
    <x v="3"/>
    <n v="5"/>
    <n v="85"/>
    <n v="44"/>
    <n v="0.1"/>
    <m/>
    <s v="Unknown"/>
    <s v="Shipped"/>
    <s v="Shipped"/>
    <s v="Valid"/>
    <s v="olivia.davis@example.com"/>
    <n v="382.5"/>
    <n v="220"/>
    <x v="151"/>
    <n v="0.42483660130718953"/>
  </r>
  <r>
    <s v="ORD-10366"/>
    <x v="184"/>
    <s v=" liam miller "/>
    <s v="Liam Miller"/>
    <s v="SG"/>
    <x v="5"/>
    <x v="1"/>
    <x v="1"/>
    <n v="1"/>
    <n v="38"/>
    <n v="17"/>
    <n v="0"/>
    <s v="credit card"/>
    <s v="Credit Card"/>
    <s v="Completed"/>
    <s v="Completed"/>
    <s v="Valid"/>
    <s v="liam.miller@example.com"/>
    <n v="38"/>
    <n v="17"/>
    <x v="126"/>
    <n v="0.55263157894736847"/>
  </r>
  <r>
    <s v="ORD-10222"/>
    <x v="185"/>
    <s v="Henry Clark"/>
    <s v="Henry Clark"/>
    <s v="Singapore"/>
    <x v="5"/>
    <x v="8"/>
    <x v="3"/>
    <n v="4"/>
    <n v="59"/>
    <n v="30"/>
    <n v="0.1"/>
    <s v="credit card"/>
    <s v="Credit Card"/>
    <s v="Shipped"/>
    <s v="Shipped"/>
    <s v="Valid"/>
    <s v="henry.clark@example.com"/>
    <n v="212.4"/>
    <n v="120"/>
    <x v="58"/>
    <n v="0.43502824858757061"/>
  </r>
  <r>
    <s v="ORD-10173"/>
    <x v="186"/>
    <s v="Grace Moore"/>
    <s v="Grace Moore"/>
    <s v="United States"/>
    <x v="4"/>
    <x v="10"/>
    <x v="3"/>
    <n v="4"/>
    <n v="245"/>
    <n v="150"/>
    <n v="0"/>
    <s v="paypal"/>
    <s v="PayPal"/>
    <s v="Completed"/>
    <s v="Completed"/>
    <s v="Valid"/>
    <s v="grace.moore@example.com"/>
    <n v="980"/>
    <n v="600"/>
    <x v="152"/>
    <n v="0.38775510204081631"/>
  </r>
  <r>
    <s v="ORD-10205"/>
    <x v="187"/>
    <s v="Grace Moore"/>
    <s v="Grace Moore"/>
    <s v=" germany "/>
    <x v="3"/>
    <x v="6"/>
    <x v="1"/>
    <n v="1"/>
    <n v="42"/>
    <n v="21"/>
    <n v="0.1"/>
    <s v="credit card"/>
    <s v="Credit Card"/>
    <s v="Shipped"/>
    <s v="Shipped"/>
    <s v="Valid"/>
    <s v="grace.moore@example.com"/>
    <n v="37.800000000000004"/>
    <n v="21"/>
    <x v="142"/>
    <n v="0.44444444444444453"/>
  </r>
  <r>
    <s v="ORD-10365"/>
    <x v="188"/>
    <s v="Lucas Jackson"/>
    <s v="Lucas Jackson"/>
    <s v=" australia"/>
    <x v="1"/>
    <x v="10"/>
    <x v="3"/>
    <n v="1"/>
    <n v="245"/>
    <n v="150"/>
    <n v="0.05"/>
    <s v="credit card"/>
    <s v="Credit Card"/>
    <s v="Cancelled"/>
    <s v="Cancelled"/>
    <s v="Valid"/>
    <s v="lucas.jackson@example.com"/>
    <n v="232.75"/>
    <n v="150"/>
    <x v="38"/>
    <n v="0.35553168635875404"/>
  </r>
  <r>
    <s v="ORD-10318"/>
    <x v="189"/>
    <s v="Henry Clark"/>
    <s v="Henry Clark"/>
    <s v="Canada"/>
    <x v="6"/>
    <x v="0"/>
    <x v="0"/>
    <n v="5"/>
    <n v="36"/>
    <n v="16"/>
    <n v="0"/>
    <s v="paypal"/>
    <s v="PayPal"/>
    <s v="Cancelled"/>
    <s v="Cancelled"/>
    <s v="Valid"/>
    <s v="henry.clark@example.com"/>
    <n v="180"/>
    <n v="80"/>
    <x v="86"/>
    <n v="0.55555555555555558"/>
  </r>
  <r>
    <s v="ORD-10416"/>
    <x v="7"/>
    <s v="Daniel Harris"/>
    <s v="Daniel Harris"/>
    <s v="SG"/>
    <x v="5"/>
    <x v="5"/>
    <x v="3"/>
    <n v="2"/>
    <n v="85"/>
    <n v="44"/>
    <n v="0.1"/>
    <s v="credit card"/>
    <s v="Credit Card"/>
    <s v="Pending"/>
    <s v="Pending"/>
    <s v="Valid"/>
    <s v="daniel.harris@example.com"/>
    <n v="153"/>
    <n v="88"/>
    <x v="88"/>
    <n v="0.42483660130718953"/>
  </r>
  <r>
    <s v="ORD-10055"/>
    <x v="190"/>
    <s v="Alex Morgan"/>
    <s v="Alex Morgan"/>
    <s v="Singapore"/>
    <x v="5"/>
    <x v="3"/>
    <x v="2"/>
    <n v="4"/>
    <n v="92"/>
    <n v="53"/>
    <n v="0"/>
    <s v="Debit Card"/>
    <s v="Debit Card"/>
    <s v="Completed"/>
    <s v="Completed"/>
    <s v="Valid"/>
    <s v="alex.morgan@example.com"/>
    <n v="368"/>
    <n v="212"/>
    <x v="101"/>
    <n v="0.42391304347826086"/>
  </r>
  <r>
    <s v="ORD-10460"/>
    <x v="191"/>
    <s v="Henry Clark"/>
    <s v="Henry Clark"/>
    <s v="United States"/>
    <x v="4"/>
    <x v="3"/>
    <x v="2"/>
    <n v="2"/>
    <n v="92"/>
    <n v="53"/>
    <n v="0.05"/>
    <s v="credit card"/>
    <s v="Credit Card"/>
    <s v="Pending"/>
    <s v="Pending"/>
    <s v="Valid"/>
    <s v="henry.clark@example.com"/>
    <n v="174.79999999999998"/>
    <n v="106"/>
    <x v="26"/>
    <n v="0.39359267734553771"/>
  </r>
  <r>
    <s v="ORD-10151"/>
    <x v="192"/>
    <s v=" benjamin walker "/>
    <s v="Benjamin Walker"/>
    <s v=" india "/>
    <x v="7"/>
    <x v="10"/>
    <x v="3"/>
    <n v="3"/>
    <n v="245"/>
    <n v="150"/>
    <n v="0.2"/>
    <s v="paypal"/>
    <s v="PayPal"/>
    <s v="Pending"/>
    <s v="Pending"/>
    <s v="Valid"/>
    <s v="benjamin.walker@example.com"/>
    <n v="588"/>
    <n v="450"/>
    <x v="110"/>
    <n v="0.23469387755102042"/>
  </r>
  <r>
    <s v="ORD-10282"/>
    <x v="137"/>
    <s v="Mia White"/>
    <s v="Mia White"/>
    <s v=" united states "/>
    <x v="4"/>
    <x v="10"/>
    <x v="3"/>
    <n v="1"/>
    <n v="245"/>
    <n v="150"/>
    <n v="0.15"/>
    <s v="credit card"/>
    <s v="Credit Card"/>
    <s v="Completed"/>
    <s v="Completed"/>
    <s v="Valid"/>
    <s v="mia.white@example.com"/>
    <n v="208.25"/>
    <n v="150"/>
    <x v="153"/>
    <n v="0.27971188475390157"/>
  </r>
  <r>
    <s v="ORD-10483"/>
    <x v="193"/>
    <s v="Ava Thomas"/>
    <s v="Ava Thomas"/>
    <s v="India"/>
    <x v="7"/>
    <x v="7"/>
    <x v="0"/>
    <n v="3"/>
    <n v="210"/>
    <n v="125"/>
    <n v="0.15"/>
    <s v="paypal"/>
    <s v="PayPal"/>
    <s v="Pending"/>
    <s v="Pending"/>
    <s v="Valid"/>
    <s v="ava.thomas@example.com"/>
    <n v="535.5"/>
    <n v="375"/>
    <x v="154"/>
    <n v="0.29971988795518206"/>
  </r>
  <r>
    <s v="ORD-10468"/>
    <x v="194"/>
    <s v="Sophia Taylor"/>
    <s v="Sophia Taylor"/>
    <s v="IN"/>
    <x v="7"/>
    <x v="8"/>
    <x v="3"/>
    <n v="5"/>
    <n v="59"/>
    <n v="30"/>
    <n v="0.1"/>
    <s v="credit card"/>
    <s v="Credit Card"/>
    <s v="Completed"/>
    <s v="Completed"/>
    <s v="Valid"/>
    <s v="sophia.taylor@example.com"/>
    <n v="265.5"/>
    <n v="150"/>
    <x v="14"/>
    <n v="0.43502824858757061"/>
  </r>
  <r>
    <s v="ORD-10107"/>
    <x v="195"/>
    <s v="Ethan Anderson"/>
    <s v="Ethan Anderson"/>
    <s v="UAE"/>
    <x v="0"/>
    <x v="8"/>
    <x v="3"/>
    <n v="2"/>
    <n v="59"/>
    <n v="30"/>
    <n v="0"/>
    <s v="credit card"/>
    <s v="Credit Card"/>
    <s v="Completed"/>
    <s v="Completed"/>
    <s v="Valid"/>
    <s v="ethan.anderson@example.com"/>
    <n v="118"/>
    <n v="60"/>
    <x v="23"/>
    <n v="0.49152542372881358"/>
  </r>
  <r>
    <s v="ORD-10232"/>
    <x v="196"/>
    <s v="James Thompson"/>
    <s v="James Thompson"/>
    <s v=" australia"/>
    <x v="1"/>
    <x v="7"/>
    <x v="0"/>
    <n v="3"/>
    <n v="210"/>
    <n v="125"/>
    <n v="0.1"/>
    <s v="Debit Card"/>
    <s v="Debit Card"/>
    <s v="Shipped"/>
    <s v="Shipped"/>
    <s v="Valid"/>
    <s v="james.thompson@example.com"/>
    <n v="567"/>
    <n v="375"/>
    <x v="155"/>
    <n v="0.33862433862433861"/>
  </r>
  <r>
    <s v="ORD-10238"/>
    <x v="197"/>
    <s v=" sophia taylor "/>
    <s v="Sophia Taylor"/>
    <s v="UK"/>
    <x v="2"/>
    <x v="10"/>
    <x v="3"/>
    <n v="2"/>
    <n v="245"/>
    <n v="150"/>
    <n v="0.15"/>
    <s v="Bank Transfer"/>
    <s v="Bank Transfer"/>
    <s v="Shipped"/>
    <s v="Shipped"/>
    <s v="Valid"/>
    <s v="sophia.taylor@example.com"/>
    <n v="416.5"/>
    <n v="300"/>
    <x v="156"/>
    <n v="0.27971188475390157"/>
  </r>
  <r>
    <s v="ORD-10368"/>
    <x v="198"/>
    <s v="Alex Morgan"/>
    <s v="Alex Morgan"/>
    <s v="UAE"/>
    <x v="0"/>
    <x v="10"/>
    <x v="3"/>
    <n v="3"/>
    <n v="245"/>
    <n v="150"/>
    <n v="0.05"/>
    <s v="Bank Transfer"/>
    <s v="Bank Transfer"/>
    <s v="Pending"/>
    <s v="Pending"/>
    <s v="Valid"/>
    <s v="alex.morgan@example.com"/>
    <n v="698.25"/>
    <n v="450"/>
    <x v="157"/>
    <n v="0.35553168635875404"/>
  </r>
  <r>
    <s v="ORD-10025"/>
    <x v="33"/>
    <s v="Grace Moore"/>
    <s v="Grace Moore"/>
    <s v="United States"/>
    <x v="4"/>
    <x v="6"/>
    <x v="1"/>
    <n v="5"/>
    <n v="42"/>
    <n v="21"/>
    <n v="0"/>
    <s v="credit card"/>
    <s v="Credit Card"/>
    <s v="Completed"/>
    <s v="Completed"/>
    <s v="Valid"/>
    <s v="grace.moore@example.com"/>
    <n v="210"/>
    <n v="105"/>
    <x v="61"/>
    <n v="0.5"/>
  </r>
  <r>
    <s v="ORD-10464"/>
    <x v="25"/>
    <s v=" henry clark "/>
    <s v="Henry Clark"/>
    <s v="USA"/>
    <x v="4"/>
    <x v="5"/>
    <x v="3"/>
    <n v="4"/>
    <n v="85"/>
    <n v="44"/>
    <n v="0"/>
    <s v="credit card"/>
    <s v="Credit Card"/>
    <s v="Shipped"/>
    <s v="Shipped"/>
    <s v="Valid"/>
    <s v="henry.clark@example.com"/>
    <n v="340"/>
    <n v="176"/>
    <x v="7"/>
    <n v="0.4823529411764706"/>
  </r>
  <r>
    <s v="ORD-10442"/>
    <x v="199"/>
    <s v="Mia White"/>
    <s v="Mia White"/>
    <s v="CAN"/>
    <x v="6"/>
    <x v="0"/>
    <x v="0"/>
    <n v="3"/>
    <n v="36"/>
    <n v="16"/>
    <n v="0.05"/>
    <s v="credit card"/>
    <s v="Credit Card"/>
    <s v="Completed"/>
    <s v="Completed"/>
    <s v="Valid"/>
    <s v="mia.white@example.com"/>
    <n v="102.6"/>
    <n v="48"/>
    <x v="52"/>
    <n v="0.53216374269005851"/>
  </r>
  <r>
    <s v="ORD-10381"/>
    <x v="99"/>
    <s v="Lily Hall"/>
    <s v="Lily Hall"/>
    <s v=" india "/>
    <x v="7"/>
    <x v="4"/>
    <x v="2"/>
    <n v="2"/>
    <n v="78"/>
    <n v="45"/>
    <n v="0"/>
    <m/>
    <s v="Unknown"/>
    <s v="Pending"/>
    <s v="Pending"/>
    <s v="Valid"/>
    <s v="lily.hall@example.com"/>
    <n v="156"/>
    <n v="90"/>
    <x v="158"/>
    <n v="0.42307692307692307"/>
  </r>
  <r>
    <s v="ORD-10083"/>
    <x v="113"/>
    <s v="James Thompson"/>
    <s v="James Thompson"/>
    <s v="UAE"/>
    <x v="0"/>
    <x v="8"/>
    <x v="3"/>
    <n v="3"/>
    <n v="59"/>
    <n v="30"/>
    <n v="0.15"/>
    <s v="paypal"/>
    <s v="PayPal"/>
    <s v="Pending"/>
    <s v="Pending"/>
    <s v="Valid"/>
    <s v="james.thompson@example.com"/>
    <n v="150.44999999999999"/>
    <n v="90"/>
    <x v="36"/>
    <n v="0.40179461615154533"/>
  </r>
  <r>
    <s v="ORD-10515"/>
    <x v="63"/>
    <s v="Benjamin Walker"/>
    <s v="Benjamin Walker"/>
    <s v="US"/>
    <x v="4"/>
    <x v="10"/>
    <x v="3"/>
    <n v="1"/>
    <n v="245"/>
    <n v="150"/>
    <n v="0.15"/>
    <s v="Debit Card"/>
    <s v="Debit Card"/>
    <s v="Completed"/>
    <s v="Completed"/>
    <s v="Valid"/>
    <s v="benjamin.walker@example.com"/>
    <n v="208.25"/>
    <n v="150"/>
    <x v="153"/>
    <n v="0.27971188475390157"/>
  </r>
  <r>
    <s v="ORD-10431"/>
    <x v="200"/>
    <s v="Alex Morgan"/>
    <s v="Alex Morgan"/>
    <s v="CAN"/>
    <x v="6"/>
    <x v="6"/>
    <x v="1"/>
    <n v="3"/>
    <n v="42"/>
    <n v="21"/>
    <n v="0.1"/>
    <s v="credit card"/>
    <s v="Credit Card"/>
    <s v="Cancelled"/>
    <s v="Cancelled"/>
    <s v="Valid"/>
    <s v="alex.morgan@example.com"/>
    <n v="113.4"/>
    <n v="63"/>
    <x v="107"/>
    <n v="0.44444444444444448"/>
  </r>
  <r>
    <s v="ORD-10102"/>
    <x v="9"/>
    <s v="Ava Thomas"/>
    <s v="Ava Thomas"/>
    <s v="DE"/>
    <x v="3"/>
    <x v="2"/>
    <x v="1"/>
    <n v="5"/>
    <n v="18"/>
    <n v="7"/>
    <n v="0.05"/>
    <s v="Bank Transfer"/>
    <s v="Bank Transfer"/>
    <s v="Pending"/>
    <s v="Pending"/>
    <s v="Valid"/>
    <s v="ava.thomas@example.com"/>
    <n v="85.5"/>
    <n v="35"/>
    <x v="139"/>
    <n v="0.59064327485380119"/>
  </r>
  <r>
    <s v="ORD-10077"/>
    <x v="167"/>
    <s v="Lily Hall"/>
    <s v="Lily Hall"/>
    <s v=" united kingdom"/>
    <x v="2"/>
    <x v="1"/>
    <x v="1"/>
    <n v="3"/>
    <n v="38"/>
    <n v="17"/>
    <n v="0.1"/>
    <s v="paypal"/>
    <s v="PayPal"/>
    <s v="Pending"/>
    <s v="Pending"/>
    <s v="Valid"/>
    <s v="lily.hall@example.com"/>
    <n v="102.60000000000001"/>
    <n v="51"/>
    <x v="116"/>
    <n v="0.50292397660818722"/>
  </r>
  <r>
    <s v="ORD-10398"/>
    <x v="117"/>
    <s v="Ava Thomas"/>
    <s v="Ava Thomas"/>
    <s v=" india "/>
    <x v="7"/>
    <x v="9"/>
    <x v="1"/>
    <n v="1"/>
    <n v="65"/>
    <n v="31"/>
    <n v="0.15"/>
    <s v="paypal"/>
    <s v="PayPal"/>
    <s v="Cancelled"/>
    <s v="Cancelled"/>
    <s v="Valid"/>
    <s v="ava.thomas@example.com"/>
    <n v="55.25"/>
    <n v="31"/>
    <x v="113"/>
    <n v="0.43891402714932126"/>
  </r>
  <r>
    <s v="ORD-10289"/>
    <x v="44"/>
    <s v="Henry Clark"/>
    <s v="Henry Clark"/>
    <s v="AUS"/>
    <x v="1"/>
    <x v="2"/>
    <x v="1"/>
    <n v="5"/>
    <n v="18"/>
    <n v="7"/>
    <n v="0.05"/>
    <s v="Debit Card"/>
    <s v="Debit Card"/>
    <s v="Completed"/>
    <s v="Completed"/>
    <s v="Valid"/>
    <s v="henry.clark@example.com"/>
    <n v="85.5"/>
    <n v="35"/>
    <x v="139"/>
    <n v="0.59064327485380119"/>
  </r>
  <r>
    <s v="ORD-10113"/>
    <x v="201"/>
    <s v="Sophia Taylor"/>
    <s v="Sophia Taylor"/>
    <s v=" singapore "/>
    <x v="5"/>
    <x v="0"/>
    <x v="0"/>
    <n v="5"/>
    <n v="36"/>
    <n v="16"/>
    <n v="0"/>
    <s v="credit card"/>
    <s v="Credit Card"/>
    <s v="Shipped"/>
    <s v="Shipped"/>
    <s v="Valid"/>
    <s v="sophia.taylor@example.com"/>
    <n v="180"/>
    <n v="80"/>
    <x v="86"/>
    <n v="0.55555555555555558"/>
  </r>
  <r>
    <s v="ORD-10358"/>
    <x v="164"/>
    <s v="Emma Wilson"/>
    <s v="Emma Wilson"/>
    <s v="U.K."/>
    <x v="2"/>
    <x v="4"/>
    <x v="2"/>
    <n v="1"/>
    <n v="78"/>
    <n v="45"/>
    <n v="0.1"/>
    <s v="paypal"/>
    <s v="PayPal"/>
    <s v="Pending"/>
    <s v="Pending"/>
    <s v="Valid"/>
    <s v="emma.wilson@example.com"/>
    <n v="70.2"/>
    <n v="45"/>
    <x v="74"/>
    <n v="0.35897435897435898"/>
  </r>
  <r>
    <s v="ORD-10367"/>
    <x v="202"/>
    <s v="Chloe Lewis"/>
    <s v="Chloe Lewis"/>
    <s v="US"/>
    <x v="4"/>
    <x v="4"/>
    <x v="2"/>
    <n v="3"/>
    <n v="78"/>
    <n v="45"/>
    <n v="0.05"/>
    <s v="Bank Transfer"/>
    <s v="Bank Transfer"/>
    <s v="Pending"/>
    <s v="Pending"/>
    <s v="Valid"/>
    <s v="chloe.lewis@example.com"/>
    <n v="222.29999999999998"/>
    <n v="135"/>
    <x v="159"/>
    <n v="0.39271255060728738"/>
  </r>
  <r>
    <s v="ORD-10247"/>
    <x v="168"/>
    <s v="Lily Hall"/>
    <s v="Lily Hall"/>
    <s v="AUS"/>
    <x v="1"/>
    <x v="4"/>
    <x v="2"/>
    <n v="3"/>
    <n v="78"/>
    <n v="45"/>
    <n v="0"/>
    <s v="Bank Transfer"/>
    <s v="Bank Transfer"/>
    <s v="Completed"/>
    <s v="Completed"/>
    <s v="Valid"/>
    <s v="lily.hall@example.com"/>
    <n v="234"/>
    <n v="135"/>
    <x v="160"/>
    <n v="0.42307692307692307"/>
  </r>
  <r>
    <s v="ORD-10438"/>
    <x v="203"/>
    <s v="Henry Clark"/>
    <s v="Henry Clark"/>
    <s v="UK"/>
    <x v="2"/>
    <x v="6"/>
    <x v="1"/>
    <n v="3"/>
    <n v="42"/>
    <n v="21"/>
    <n v="0"/>
    <s v="Debit Card"/>
    <s v="Debit Card"/>
    <s v="Cancelled"/>
    <s v="Cancelled"/>
    <s v="Valid"/>
    <s v="henry.clark@example.com"/>
    <n v="126"/>
    <n v="63"/>
    <x v="11"/>
    <n v="0.5"/>
  </r>
  <r>
    <s v="ORD-10511"/>
    <x v="204"/>
    <s v="Henry Clark"/>
    <s v="Henry Clark"/>
    <s v="CAN"/>
    <x v="6"/>
    <x v="4"/>
    <x v="2"/>
    <n v="2"/>
    <n v="78"/>
    <n v="45"/>
    <n v="0"/>
    <s v="credit card"/>
    <s v="Credit Card"/>
    <s v="Shipped"/>
    <s v="Shipped"/>
    <s v="Valid"/>
    <s v="henry.clark@example.com"/>
    <n v="156"/>
    <n v="90"/>
    <x v="158"/>
    <n v="0.42307692307692307"/>
  </r>
  <r>
    <s v="ORD-10426"/>
    <x v="205"/>
    <s v="James Thompson"/>
    <s v="James Thompson"/>
    <s v="India"/>
    <x v="7"/>
    <x v="2"/>
    <x v="1"/>
    <n v="2"/>
    <n v="18"/>
    <n v="7"/>
    <n v="0"/>
    <s v="paypal"/>
    <s v="PayPal"/>
    <s v="Completed"/>
    <s v="Completed"/>
    <s v="Valid"/>
    <s v="james.thompson@example.com"/>
    <n v="36"/>
    <n v="14"/>
    <x v="65"/>
    <n v="0.61111111111111116"/>
  </r>
  <r>
    <s v="ORD-10494"/>
    <x v="206"/>
    <s v="Henry Clark"/>
    <s v="Henry Clark"/>
    <s v="IN"/>
    <x v="7"/>
    <x v="10"/>
    <x v="3"/>
    <n v="3"/>
    <n v="245"/>
    <n v="150"/>
    <n v="0"/>
    <s v="Debit Card"/>
    <s v="Debit Card"/>
    <s v="Cancelled"/>
    <s v="Cancelled"/>
    <s v="Valid"/>
    <s v="henry.clark@example.com"/>
    <n v="735"/>
    <n v="450"/>
    <x v="80"/>
    <n v="0.38775510204081631"/>
  </r>
  <r>
    <s v="ORD-10111"/>
    <x v="31"/>
    <s v="Daniel Harris"/>
    <s v="Daniel Harris"/>
    <s v=" singapore "/>
    <x v="5"/>
    <x v="3"/>
    <x v="2"/>
    <n v="1"/>
    <n v="92"/>
    <n v="53"/>
    <n v="0"/>
    <s v="credit card"/>
    <s v="Credit Card"/>
    <s v="Completed"/>
    <s v="Completed"/>
    <s v="Valid"/>
    <s v="daniel.harris@example.com"/>
    <n v="92"/>
    <n v="53"/>
    <x v="3"/>
    <n v="0.42391304347826086"/>
  </r>
  <r>
    <s v="ORD-10534"/>
    <x v="164"/>
    <s v="James Thompson"/>
    <s v="James Thompson"/>
    <s v="DE"/>
    <x v="3"/>
    <x v="8"/>
    <x v="3"/>
    <n v="2"/>
    <n v="59"/>
    <n v="30"/>
    <n v="0.15"/>
    <s v="credit card"/>
    <s v="Credit Card"/>
    <s v="Shipped"/>
    <s v="Shipped"/>
    <s v="Valid"/>
    <s v="james.thompson@example.com"/>
    <n v="100.3"/>
    <n v="60"/>
    <x v="49"/>
    <n v="0.40179461615154533"/>
  </r>
  <r>
    <s v="ORD-10091"/>
    <x v="8"/>
    <s v=" alex morgan "/>
    <s v="Alex Morgan"/>
    <s v="USA"/>
    <x v="4"/>
    <x v="5"/>
    <x v="3"/>
    <n v="1"/>
    <n v="85"/>
    <n v="44"/>
    <n v="0.1"/>
    <s v="paypal"/>
    <s v="PayPal"/>
    <s v="Completed"/>
    <s v="Completed"/>
    <s v="Valid"/>
    <s v="alex.morgan@example.com"/>
    <n v="76.5"/>
    <n v="44"/>
    <x v="111"/>
    <n v="0.42483660130718953"/>
  </r>
  <r>
    <s v="ORD-10206"/>
    <x v="193"/>
    <s v="Olivia Davis"/>
    <s v="Olivia Davis"/>
    <s v="USA"/>
    <x v="4"/>
    <x v="10"/>
    <x v="3"/>
    <n v="5"/>
    <n v="245"/>
    <n v="150"/>
    <n v="0.05"/>
    <s v="credit card"/>
    <s v="Credit Card"/>
    <s v="Completed"/>
    <s v="Completed"/>
    <s v="Valid"/>
    <s v="olivia.davis@example.com"/>
    <n v="1163.75"/>
    <n v="750"/>
    <x v="91"/>
    <n v="0.35553168635875404"/>
  </r>
  <r>
    <s v="ORD-10171"/>
    <x v="207"/>
    <s v="Lily Hall"/>
    <s v="Lily Hall"/>
    <s v="Singapore"/>
    <x v="5"/>
    <x v="1"/>
    <x v="1"/>
    <n v="5"/>
    <n v="38"/>
    <n v="17"/>
    <n v="0"/>
    <s v="credit card"/>
    <s v="Credit Card"/>
    <s v="Completed"/>
    <s v="Completed"/>
    <s v="Valid"/>
    <s v="lily.hall@example.com"/>
    <n v="190"/>
    <n v="85"/>
    <x v="61"/>
    <n v="0.55263157894736847"/>
  </r>
  <r>
    <s v="ORD-10537"/>
    <x v="109"/>
    <s v="Lily Hall"/>
    <s v="Lily Hall"/>
    <s v=" uae "/>
    <x v="0"/>
    <x v="11"/>
    <x v="3"/>
    <n v="3"/>
    <n v="175"/>
    <n v="105"/>
    <n v="0"/>
    <s v="Bank Transfer"/>
    <s v="Bank Transfer"/>
    <s v="Cancelled"/>
    <s v="Cancelled"/>
    <s v="Valid"/>
    <s v="lily.hall@example.com"/>
    <n v="525"/>
    <n v="315"/>
    <x v="59"/>
    <n v="0.4"/>
  </r>
  <r>
    <s v="ORD-10482"/>
    <x v="208"/>
    <s v="James Thompson"/>
    <s v="James Thompson"/>
    <s v="India"/>
    <x v="7"/>
    <x v="1"/>
    <x v="1"/>
    <n v="1"/>
    <n v="38"/>
    <n v="17"/>
    <n v="0"/>
    <s v="Bank Transfer"/>
    <s v="Bank Transfer"/>
    <s v="Pending"/>
    <s v="Pending"/>
    <s v="Valid"/>
    <s v="james.thompson@example.com"/>
    <n v="38"/>
    <n v="17"/>
    <x v="126"/>
    <n v="0.55263157894736847"/>
  </r>
  <r>
    <s v="ORD-10057"/>
    <x v="118"/>
    <s v="Noah Brown"/>
    <s v="Noah Brown"/>
    <s v=" uae "/>
    <x v="0"/>
    <x v="2"/>
    <x v="1"/>
    <n v="1"/>
    <n v="18"/>
    <n v="7"/>
    <n v="0.05"/>
    <s v="paypal"/>
    <s v="PayPal"/>
    <s v="Completed"/>
    <s v="Completed"/>
    <s v="Valid"/>
    <s v="noah.brown@example.com"/>
    <n v="17.099999999999998"/>
    <n v="7"/>
    <x v="2"/>
    <n v="0.59064327485380108"/>
  </r>
  <r>
    <s v="ORD-10242"/>
    <x v="54"/>
    <s v="Emma Wilson"/>
    <s v="Emma Wilson"/>
    <s v="SG"/>
    <x v="5"/>
    <x v="3"/>
    <x v="2"/>
    <n v="1"/>
    <n v="92"/>
    <n v="53"/>
    <n v="0.05"/>
    <s v="paypal"/>
    <s v="PayPal"/>
    <s v="Completed"/>
    <s v="Completed"/>
    <s v="Valid"/>
    <s v="emma.wilson@example.com"/>
    <n v="87.399999999999991"/>
    <n v="53"/>
    <x v="4"/>
    <n v="0.39359267734553771"/>
  </r>
  <r>
    <s v="ORD-10088"/>
    <x v="46"/>
    <s v="Ethan Anderson"/>
    <s v="Ethan Anderson"/>
    <s v="US"/>
    <x v="4"/>
    <x v="4"/>
    <x v="2"/>
    <n v="2"/>
    <n v="78"/>
    <n v="45"/>
    <n v="0.1"/>
    <s v="credit card"/>
    <s v="Credit Card"/>
    <s v="Completed"/>
    <s v="Completed"/>
    <s v="Valid"/>
    <s v="ethan.anderson@example.com"/>
    <n v="140.4"/>
    <n v="90"/>
    <x v="107"/>
    <n v="0.35897435897435898"/>
  </r>
  <r>
    <s v="ORD-10098"/>
    <x v="209"/>
    <s v="Daniel Harris"/>
    <s v="Daniel Harris"/>
    <s v=" united states "/>
    <x v="4"/>
    <x v="4"/>
    <x v="2"/>
    <n v="3"/>
    <n v="78"/>
    <n v="45"/>
    <n v="0.05"/>
    <s v="paypal"/>
    <s v="PayPal"/>
    <s v="Completed"/>
    <s v="Completed"/>
    <s v="Valid"/>
    <s v="daniel.harris@example.com"/>
    <n v="222.29999999999998"/>
    <n v="135"/>
    <x v="159"/>
    <n v="0.39271255060728738"/>
  </r>
  <r>
    <s v="ORD-10117"/>
    <x v="29"/>
    <s v=" lucas jackson "/>
    <s v="Lucas Jackson"/>
    <s v=" united kingdom"/>
    <x v="2"/>
    <x v="7"/>
    <x v="0"/>
    <n v="1"/>
    <n v="210"/>
    <n v="125"/>
    <n v="0.1"/>
    <s v="credit card"/>
    <s v="Credit Card"/>
    <s v="Completed"/>
    <s v="Completed"/>
    <s v="Valid"/>
    <s v="lucas.jackson@example.com"/>
    <n v="189"/>
    <n v="125"/>
    <x v="114"/>
    <n v="0.33862433862433861"/>
  </r>
  <r>
    <s v="ORD-10202"/>
    <x v="210"/>
    <s v=" emma wilson "/>
    <s v="Emma Wilson"/>
    <s v=" uae "/>
    <x v="0"/>
    <x v="3"/>
    <x v="2"/>
    <n v="1"/>
    <n v="92"/>
    <n v="53"/>
    <n v="0.1"/>
    <s v="credit card"/>
    <s v="Credit Card"/>
    <s v="Shipped"/>
    <s v="Shipped"/>
    <s v="Valid"/>
    <s v="emma.wilson@example.com"/>
    <n v="82.8"/>
    <n v="53"/>
    <x v="161"/>
    <n v="0.35990338164251207"/>
  </r>
  <r>
    <s v="ORD-10385"/>
    <x v="211"/>
    <s v="Ethan Anderson"/>
    <s v="Ethan Anderson"/>
    <s v=" australia"/>
    <x v="1"/>
    <x v="6"/>
    <x v="1"/>
    <n v="3"/>
    <n v="42"/>
    <n v="21"/>
    <n v="0"/>
    <s v="paypal"/>
    <s v="PayPal"/>
    <s v="Completed"/>
    <s v="Completed"/>
    <s v="Valid"/>
    <s v="ethan.anderson@example.com"/>
    <n v="126"/>
    <n v="63"/>
    <x v="11"/>
    <n v="0.5"/>
  </r>
  <r>
    <s v="ORD-10477"/>
    <x v="212"/>
    <s v="Chloe Lewis"/>
    <s v="Chloe Lewis"/>
    <s v="United States"/>
    <x v="4"/>
    <x v="10"/>
    <x v="3"/>
    <n v="2"/>
    <n v="245"/>
    <n v="150"/>
    <n v="0"/>
    <s v="paypal"/>
    <s v="PayPal"/>
    <s v="Shipped"/>
    <s v="Shipped"/>
    <s v="Valid"/>
    <s v="chloe.lewis@example.com"/>
    <n v="490"/>
    <n v="300"/>
    <x v="43"/>
    <n v="0.38775510204081631"/>
  </r>
  <r>
    <s v="ORD-10214"/>
    <x v="20"/>
    <s v="Liam Miller"/>
    <s v="Liam Miller"/>
    <s v=" india "/>
    <x v="7"/>
    <x v="6"/>
    <x v="1"/>
    <n v="3"/>
    <n v="42"/>
    <n v="21"/>
    <n v="0"/>
    <s v="paypal"/>
    <s v="PayPal"/>
    <s v="Completed"/>
    <s v="Completed"/>
    <s v="Valid"/>
    <s v="liam.miller@example.com"/>
    <n v="126"/>
    <n v="63"/>
    <x v="11"/>
    <n v="0.5"/>
  </r>
  <r>
    <s v="ORD-10389"/>
    <x v="191"/>
    <s v="Daniel Harris"/>
    <s v="Daniel Harris"/>
    <s v="CAN"/>
    <x v="6"/>
    <x v="1"/>
    <x v="1"/>
    <n v="2"/>
    <n v="38"/>
    <n v="17"/>
    <n v="0"/>
    <s v="credit card"/>
    <s v="Credit Card"/>
    <s v="Completed"/>
    <s v="Completed"/>
    <s v="Invalid"/>
    <s v="daniel.harris@example"/>
    <n v="76"/>
    <n v="34"/>
    <x v="90"/>
    <n v="0.55263157894736847"/>
  </r>
  <r>
    <s v="ORD-10452"/>
    <x v="213"/>
    <s v="James Thompson"/>
    <s v="James Thompson"/>
    <s v="US"/>
    <x v="4"/>
    <x v="9"/>
    <x v="1"/>
    <n v="3"/>
    <n v="65"/>
    <n v="31"/>
    <n v="0"/>
    <s v="credit card"/>
    <s v="Credit Card"/>
    <s v="Pending"/>
    <s v="Pending"/>
    <s v="Missing"/>
    <m/>
    <n v="195"/>
    <n v="93"/>
    <x v="97"/>
    <n v="0.52307692307692311"/>
  </r>
  <r>
    <s v="ORD-10370"/>
    <x v="93"/>
    <s v="Sophia Taylor"/>
    <s v="Sophia Taylor"/>
    <s v=" united kingdom"/>
    <x v="2"/>
    <x v="8"/>
    <x v="3"/>
    <n v="5"/>
    <n v="59"/>
    <n v="30"/>
    <n v="0.15"/>
    <s v="Bank Transfer"/>
    <s v="Bank Transfer"/>
    <s v="Shipped"/>
    <s v="Shipped"/>
    <s v="Valid"/>
    <s v="sophia.taylor@example.com"/>
    <n v="250.75"/>
    <n v="150"/>
    <x v="162"/>
    <n v="0.40179461615154538"/>
  </r>
  <r>
    <s v="ORD-10514"/>
    <x v="186"/>
    <s v="Benjamin Walker"/>
    <s v="Benjamin Walker"/>
    <s v=" united kingdom"/>
    <x v="2"/>
    <x v="5"/>
    <x v="3"/>
    <n v="1"/>
    <n v="85"/>
    <n v="44"/>
    <n v="0.15"/>
    <s v="Bank Transfer"/>
    <s v="Bank Transfer"/>
    <s v="Completed"/>
    <s v="Completed"/>
    <s v="Valid"/>
    <s v="benjamin.walker@example.com"/>
    <n v="72.25"/>
    <n v="44"/>
    <x v="99"/>
    <n v="0.39100346020761245"/>
  </r>
  <r>
    <s v="ORD-10505"/>
    <x v="214"/>
    <s v="James Thompson"/>
    <s v="James Thompson"/>
    <s v=" germany "/>
    <x v="3"/>
    <x v="11"/>
    <x v="3"/>
    <n v="1"/>
    <n v="175"/>
    <n v="105"/>
    <n v="0"/>
    <s v="Bank Transfer"/>
    <s v="Bank Transfer"/>
    <s v="Pending"/>
    <s v="Pending"/>
    <s v="Valid"/>
    <s v="james.thompson@example.com"/>
    <n v="175"/>
    <n v="105"/>
    <x v="95"/>
    <n v="0.4"/>
  </r>
  <r>
    <s v="ORD-10071"/>
    <x v="36"/>
    <s v="Mia White"/>
    <s v="Mia White"/>
    <s v="DE"/>
    <x v="3"/>
    <x v="6"/>
    <x v="1"/>
    <n v="5"/>
    <n v="42"/>
    <n v="21"/>
    <n v="0"/>
    <s v="credit card"/>
    <s v="Credit Card"/>
    <s v="Completed"/>
    <s v="Completed"/>
    <s v="Valid"/>
    <s v="mia.white@example.com"/>
    <n v="210"/>
    <n v="105"/>
    <x v="61"/>
    <n v="0.5"/>
  </r>
  <r>
    <s v="ORD-10297"/>
    <x v="179"/>
    <s v="Henry Clark"/>
    <s v="Henry Clark"/>
    <s v="IN"/>
    <x v="7"/>
    <x v="3"/>
    <x v="2"/>
    <n v="3"/>
    <n v="92"/>
    <n v="53"/>
    <n v="0"/>
    <s v="credit card"/>
    <s v="Credit Card"/>
    <s v="Completed"/>
    <s v="Completed"/>
    <s v="Valid"/>
    <s v="henry.clark@example.com"/>
    <n v="276"/>
    <n v="159"/>
    <x v="85"/>
    <n v="0.42391304347826086"/>
  </r>
  <r>
    <s v="ORD-10226"/>
    <x v="215"/>
    <s v="Daniel Harris"/>
    <s v="Daniel Harris"/>
    <s v=" united kingdom"/>
    <x v="2"/>
    <x v="3"/>
    <x v="2"/>
    <n v="5"/>
    <n v="92"/>
    <n v="53"/>
    <n v="0"/>
    <s v="Bank Transfer"/>
    <s v="Bank Transfer"/>
    <s v="Pending"/>
    <s v="Pending"/>
    <s v="Valid"/>
    <s v="daniel.harris@example.com"/>
    <n v="460"/>
    <n v="265"/>
    <x v="163"/>
    <n v="0.42391304347826086"/>
  </r>
  <r>
    <s v="ORD-10090"/>
    <x v="216"/>
    <s v="Henry Clark"/>
    <s v="Henry Clark"/>
    <s v="Canada"/>
    <x v="6"/>
    <x v="11"/>
    <x v="3"/>
    <n v="2"/>
    <n v="175"/>
    <n v="105"/>
    <n v="0"/>
    <s v="paypal"/>
    <s v="PayPal"/>
    <s v="Shipped"/>
    <s v="Shipped"/>
    <s v="Valid"/>
    <s v="henry.clark@example.com"/>
    <n v="350"/>
    <n v="210"/>
    <x v="164"/>
    <n v="0.4"/>
  </r>
  <r>
    <s v="ORD-10387"/>
    <x v="18"/>
    <s v=" benjamin walker "/>
    <s v="Benjamin Walker"/>
    <s v="India"/>
    <x v="7"/>
    <x v="3"/>
    <x v="2"/>
    <n v="4"/>
    <n v="92"/>
    <n v="53"/>
    <n v="0.15"/>
    <s v="credit card"/>
    <s v="Credit Card"/>
    <s v="Cancelled"/>
    <s v="Cancelled"/>
    <s v="Missing"/>
    <m/>
    <n v="312.8"/>
    <n v="212"/>
    <x v="21"/>
    <n v="0.32225063938618931"/>
  </r>
  <r>
    <s v="ORD-10384"/>
    <x v="130"/>
    <s v="Lucas Jackson"/>
    <s v="Lucas Jackson"/>
    <s v="India"/>
    <x v="7"/>
    <x v="7"/>
    <x v="0"/>
    <n v="2"/>
    <n v="210"/>
    <n v="125"/>
    <n v="0"/>
    <s v="credit card"/>
    <s v="Credit Card"/>
    <s v="Cancelled"/>
    <s v="Cancelled"/>
    <s v="Valid"/>
    <s v="lucas.jackson@example.com"/>
    <n v="420"/>
    <n v="250"/>
    <x v="67"/>
    <n v="0.40476190476190477"/>
  </r>
  <r>
    <s v="ORD-10538"/>
    <x v="115"/>
    <s v="Ella Martin"/>
    <s v="Ella Martin"/>
    <s v=" uae "/>
    <x v="0"/>
    <x v="6"/>
    <x v="1"/>
    <n v="1"/>
    <n v="42"/>
    <n v="21"/>
    <n v="0"/>
    <s v="credit card"/>
    <s v="Credit Card"/>
    <s v="Pending"/>
    <s v="Pending"/>
    <s v="Valid"/>
    <s v="ella.martin@example.com"/>
    <n v="42"/>
    <n v="21"/>
    <x v="126"/>
    <n v="0.5"/>
  </r>
  <r>
    <s v="ORD-10437"/>
    <x v="217"/>
    <s v="Mia White"/>
    <s v="Mia White"/>
    <s v="Canada"/>
    <x v="6"/>
    <x v="9"/>
    <x v="1"/>
    <n v="2"/>
    <n v="65"/>
    <n v="31"/>
    <n v="0"/>
    <s v="Bank Transfer"/>
    <s v="Bank Transfer"/>
    <s v="Completed"/>
    <s v="Completed"/>
    <s v="Valid"/>
    <s v="mia.white@example.com"/>
    <n v="130"/>
    <n v="62"/>
    <x v="120"/>
    <n v="0.52307692307692311"/>
  </r>
  <r>
    <s v="ORD-10020"/>
    <x v="218"/>
    <s v="Sophia Taylor"/>
    <s v="Sophia Taylor"/>
    <s v=" singapore "/>
    <x v="5"/>
    <x v="7"/>
    <x v="0"/>
    <n v="1"/>
    <n v="210"/>
    <n v="125"/>
    <n v="0"/>
    <s v="Debit Card"/>
    <s v="Debit Card"/>
    <s v="Shipped"/>
    <s v="Shipped"/>
    <s v="Valid"/>
    <s v="sophia.taylor@example.com"/>
    <n v="210"/>
    <n v="125"/>
    <x v="72"/>
    <n v="0.40476190476190477"/>
  </r>
  <r>
    <s v="ORD-10015"/>
    <x v="219"/>
    <s v="James Thompson"/>
    <s v="James Thompson"/>
    <s v="United States"/>
    <x v="4"/>
    <x v="0"/>
    <x v="0"/>
    <n v="1"/>
    <n v="36"/>
    <n v="16"/>
    <n v="0"/>
    <s v="Bank Transfer"/>
    <s v="Bank Transfer"/>
    <s v="Pending"/>
    <s v="Pending"/>
    <s v="Valid"/>
    <s v="james.thompson@example.com"/>
    <n v="36"/>
    <n v="16"/>
    <x v="165"/>
    <n v="0.55555555555555558"/>
  </r>
  <r>
    <s v="ORD-10253"/>
    <x v="190"/>
    <s v="Lucas Jackson"/>
    <s v="Lucas Jackson"/>
    <s v=" canada "/>
    <x v="6"/>
    <x v="8"/>
    <x v="3"/>
    <n v="5"/>
    <n v="59"/>
    <n v="30"/>
    <n v="0"/>
    <s v="Debit Card"/>
    <s v="Debit Card"/>
    <s v="Completed"/>
    <s v="Completed"/>
    <s v="Valid"/>
    <s v="lucas.jackson@example.com"/>
    <n v="295"/>
    <n v="150"/>
    <x v="134"/>
    <n v="0.49152542372881358"/>
  </r>
  <r>
    <s v="ORD-10474"/>
    <x v="220"/>
    <s v="Henry Clark"/>
    <s v="Henry Clark"/>
    <s v=" canada "/>
    <x v="6"/>
    <x v="2"/>
    <x v="1"/>
    <n v="4"/>
    <n v="18"/>
    <n v="7"/>
    <n v="0"/>
    <s v="paypal"/>
    <s v="PayPal"/>
    <s v="Completed"/>
    <s v="Completed"/>
    <s v="Valid"/>
    <s v="henry.clark@example.com"/>
    <n v="72"/>
    <n v="28"/>
    <x v="76"/>
    <n v="0.61111111111111116"/>
  </r>
  <r>
    <s v="ORD-10121"/>
    <x v="221"/>
    <s v=" henry clark "/>
    <s v="Henry Clark"/>
    <s v="UK"/>
    <x v="2"/>
    <x v="7"/>
    <x v="0"/>
    <n v="1"/>
    <n v="210"/>
    <n v="125"/>
    <n v="0.15"/>
    <s v="paypal"/>
    <s v="PayPal"/>
    <s v="Completed"/>
    <s v="Completed"/>
    <s v="Valid"/>
    <s v="henry.clark@example.com"/>
    <n v="178.5"/>
    <n v="125"/>
    <x v="166"/>
    <n v="0.29971988795518206"/>
  </r>
  <r>
    <s v="ORD-10286"/>
    <x v="222"/>
    <s v="Lucas Jackson"/>
    <s v="Lucas Jackson"/>
    <s v="Singapore"/>
    <x v="5"/>
    <x v="6"/>
    <x v="1"/>
    <n v="4"/>
    <n v="42"/>
    <n v="21"/>
    <n v="0.2"/>
    <s v="paypal"/>
    <s v="PayPal"/>
    <s v="Completed"/>
    <s v="Completed"/>
    <s v="Valid"/>
    <s v="lucas.jackson@example.com"/>
    <n v="134.4"/>
    <n v="84"/>
    <x v="107"/>
    <n v="0.375"/>
  </r>
  <r>
    <s v="ORD-10043"/>
    <x v="108"/>
    <s v="Mia White"/>
    <s v="Mia White"/>
    <s v="CAN"/>
    <x v="6"/>
    <x v="0"/>
    <x v="0"/>
    <n v="1"/>
    <n v="36"/>
    <n v="16"/>
    <n v="0.2"/>
    <s v="Debit Card"/>
    <s v="Debit Card"/>
    <s v="Cancelled"/>
    <s v="Cancelled"/>
    <s v="Valid"/>
    <s v="mia.white@example.com"/>
    <n v="28.8"/>
    <n v="16"/>
    <x v="167"/>
    <n v="0.44444444444444448"/>
  </r>
  <r>
    <s v="ORD-10197"/>
    <x v="177"/>
    <s v="Emma Wilson"/>
    <s v="Emma Wilson"/>
    <s v="DE"/>
    <x v="3"/>
    <x v="9"/>
    <x v="1"/>
    <n v="2"/>
    <n v="65"/>
    <n v="31"/>
    <n v="0.05"/>
    <s v="Debit Card"/>
    <s v="Debit Card"/>
    <s v="Completed"/>
    <s v="Completed"/>
    <s v="Valid"/>
    <s v="emma.wilson@example.com"/>
    <n v="123.5"/>
    <n v="62"/>
    <x v="143"/>
    <n v="0.49797570850202427"/>
  </r>
  <r>
    <s v="ORD-10034"/>
    <x v="223"/>
    <s v="Mia White"/>
    <s v="Mia White"/>
    <s v=" united kingdom"/>
    <x v="2"/>
    <x v="5"/>
    <x v="3"/>
    <n v="2"/>
    <n v="85"/>
    <n v="44"/>
    <n v="0"/>
    <s v="Debit Card"/>
    <s v="Debit Card"/>
    <s v="Completed"/>
    <s v="Completed"/>
    <s v="Valid"/>
    <s v="mia.white@example.com"/>
    <n v="170"/>
    <n v="88"/>
    <x v="83"/>
    <n v="0.4823529411764706"/>
  </r>
  <r>
    <s v="ORD-10251"/>
    <x v="162"/>
    <s v="Grace Moore"/>
    <s v="Grace Moore"/>
    <s v="Canada"/>
    <x v="6"/>
    <x v="5"/>
    <x v="3"/>
    <n v="1"/>
    <n v="85"/>
    <n v="44"/>
    <n v="0.1"/>
    <s v="credit card"/>
    <s v="Credit Card"/>
    <s v="Cancelled"/>
    <s v="Cancelled"/>
    <s v="Valid"/>
    <s v="grace.moore@example.com"/>
    <n v="76.5"/>
    <n v="44"/>
    <x v="111"/>
    <n v="0.42483660130718953"/>
  </r>
  <r>
    <s v="ORD-10509"/>
    <x v="212"/>
    <s v="Sophia Taylor"/>
    <s v="Sophia Taylor"/>
    <s v="DE"/>
    <x v="3"/>
    <x v="9"/>
    <x v="1"/>
    <n v="2"/>
    <n v="65"/>
    <n v="31"/>
    <n v="0.1"/>
    <s v="Bank Transfer"/>
    <s v="Bank Transfer"/>
    <s v="Cancelled"/>
    <s v="Cancelled"/>
    <s v="Valid"/>
    <s v="sophia.taylor@example.com"/>
    <n v="117"/>
    <n v="62"/>
    <x v="17"/>
    <n v="0.47008547008547008"/>
  </r>
  <r>
    <s v="ORD-10550"/>
    <x v="98"/>
    <s v="Noah Brown"/>
    <s v="Noah Brown"/>
    <s v=" uae "/>
    <x v="0"/>
    <x v="10"/>
    <x v="3"/>
    <n v="5"/>
    <n v="245"/>
    <n v="150"/>
    <n v="0.05"/>
    <s v="credit card"/>
    <s v="Credit Card"/>
    <s v="Completed"/>
    <s v="Completed"/>
    <s v="Valid"/>
    <s v="noah.brown@example.com"/>
    <n v="1163.75"/>
    <n v="750"/>
    <x v="91"/>
    <n v="0.35553168635875404"/>
  </r>
  <r>
    <s v="ORD-10396"/>
    <x v="36"/>
    <s v="Olivia Davis"/>
    <s v="Olivia Davis"/>
    <s v="Singapore"/>
    <x v="5"/>
    <x v="4"/>
    <x v="2"/>
    <n v="5"/>
    <n v="78"/>
    <n v="45"/>
    <n v="0.1"/>
    <s v="paypal"/>
    <s v="PayPal"/>
    <s v="Shipped"/>
    <s v="Shipped"/>
    <s v="Valid"/>
    <s v="olivia.davis@example.com"/>
    <n v="351"/>
    <n v="225"/>
    <x v="5"/>
    <n v="0.35897435897435898"/>
  </r>
  <r>
    <s v="ORD-10476"/>
    <x v="7"/>
    <s v="Sophia Taylor"/>
    <s v="Sophia Taylor"/>
    <s v="India"/>
    <x v="7"/>
    <x v="2"/>
    <x v="1"/>
    <n v="2"/>
    <n v="18"/>
    <n v="7"/>
    <n v="0.05"/>
    <s v="paypal"/>
    <s v="PayPal"/>
    <s v="Cancelled"/>
    <s v="Cancelled"/>
    <s v="Valid"/>
    <s v="sophia.taylor@example.com"/>
    <n v="34.199999999999996"/>
    <n v="14"/>
    <x v="55"/>
    <n v="0.59064327485380108"/>
  </r>
  <r>
    <s v="ORD-10339"/>
    <x v="224"/>
    <s v="Grace Moore"/>
    <s v="Grace Moore"/>
    <s v="US"/>
    <x v="4"/>
    <x v="10"/>
    <x v="3"/>
    <n v="3"/>
    <n v="245"/>
    <n v="150"/>
    <n v="0.05"/>
    <s v="Bank Transfer"/>
    <s v="Bank Transfer"/>
    <s v="Completed"/>
    <s v="Completed"/>
    <s v="Valid"/>
    <s v="grace.moore@example.com"/>
    <n v="698.25"/>
    <n v="450"/>
    <x v="157"/>
    <n v="0.35553168635875404"/>
  </r>
  <r>
    <s v="ORD-10291"/>
    <x v="17"/>
    <s v="Daniel Harris"/>
    <s v="Daniel Harris"/>
    <s v=" singapore "/>
    <x v="5"/>
    <x v="6"/>
    <x v="1"/>
    <n v="3"/>
    <n v="42"/>
    <n v="21"/>
    <n v="0.15"/>
    <s v="paypal"/>
    <s v="PayPal"/>
    <s v="Shipped"/>
    <s v="Shipped"/>
    <s v="Valid"/>
    <s v="daniel.harris@example.com"/>
    <n v="107.1"/>
    <n v="63"/>
    <x v="141"/>
    <n v="0.41176470588235292"/>
  </r>
  <r>
    <s v="ORD-10311"/>
    <x v="225"/>
    <s v="Chloe Lewis"/>
    <s v="Chloe Lewis"/>
    <s v=" germany "/>
    <x v="3"/>
    <x v="0"/>
    <x v="0"/>
    <n v="2"/>
    <n v="36"/>
    <n v="16"/>
    <n v="0"/>
    <s v="paypal"/>
    <s v="PayPal"/>
    <s v="Completed"/>
    <s v="Completed"/>
    <s v="Valid"/>
    <s v="chloe.lewis@example.com"/>
    <n v="72"/>
    <n v="32"/>
    <x v="140"/>
    <n v="0.55555555555555558"/>
  </r>
  <r>
    <s v="ORD-10017"/>
    <x v="174"/>
    <s v="Emma Wilson"/>
    <s v="Emma Wilson"/>
    <s v="AUS"/>
    <x v="1"/>
    <x v="4"/>
    <x v="2"/>
    <n v="4"/>
    <n v="78"/>
    <n v="45"/>
    <n v="0"/>
    <s v="credit card"/>
    <s v="Credit Card"/>
    <s v="Completed"/>
    <s v="Completed"/>
    <s v="Valid"/>
    <s v="emma.wilson@example.com"/>
    <n v="312"/>
    <n v="180"/>
    <x v="92"/>
    <n v="0.42307692307692307"/>
  </r>
  <r>
    <s v="ORD-10159"/>
    <x v="159"/>
    <s v="Sophia Taylor"/>
    <s v="Sophia Taylor"/>
    <s v="DE"/>
    <x v="3"/>
    <x v="11"/>
    <x v="3"/>
    <n v="3"/>
    <n v="175"/>
    <n v="105"/>
    <n v="0"/>
    <s v="credit card"/>
    <s v="Credit Card"/>
    <s v="Cancelled"/>
    <s v="Cancelled"/>
    <s v="Valid"/>
    <s v="sophia.taylor@example.com"/>
    <n v="525"/>
    <n v="315"/>
    <x v="59"/>
    <n v="0.4"/>
  </r>
  <r>
    <s v="ORD-10244"/>
    <x v="59"/>
    <s v="Ava Thomas"/>
    <s v="Ava Thomas"/>
    <m/>
    <x v="8"/>
    <x v="6"/>
    <x v="1"/>
    <n v="4"/>
    <n v="42"/>
    <n v="21"/>
    <n v="0"/>
    <s v="Bank Transfer"/>
    <s v="Bank Transfer"/>
    <s v="Completed"/>
    <s v="Completed"/>
    <s v="Valid"/>
    <s v="ava.thomas@example.com"/>
    <n v="168"/>
    <n v="84"/>
    <x v="1"/>
    <n v="0.5"/>
  </r>
  <r>
    <s v="ORD-10067"/>
    <x v="226"/>
    <s v="Emma Wilson"/>
    <s v="Emma Wilson"/>
    <s v="UK"/>
    <x v="2"/>
    <x v="9"/>
    <x v="1"/>
    <n v="3"/>
    <n v="65"/>
    <n v="31"/>
    <n v="0"/>
    <s v="Debit Card"/>
    <s v="Debit Card"/>
    <s v="Completed"/>
    <s v="Completed"/>
    <s v="Valid"/>
    <s v="emma.wilson@example.com"/>
    <n v="195"/>
    <n v="93"/>
    <x v="97"/>
    <n v="0.52307692307692311"/>
  </r>
  <r>
    <s v="ORD-10499"/>
    <x v="55"/>
    <s v="Henry Clark"/>
    <s v="Henry Clark"/>
    <s v="US"/>
    <x v="4"/>
    <x v="10"/>
    <x v="3"/>
    <n v="3"/>
    <n v="245"/>
    <n v="150"/>
    <n v="0"/>
    <s v="paypal"/>
    <s v="PayPal"/>
    <s v="Shipped"/>
    <s v="Shipped"/>
    <s v="Valid"/>
    <s v="henry.clark@example.com"/>
    <n v="735"/>
    <n v="450"/>
    <x v="80"/>
    <n v="0.38775510204081631"/>
  </r>
  <r>
    <s v="ORD-10524"/>
    <x v="185"/>
    <s v="James Thompson"/>
    <s v="James Thompson"/>
    <s v="DE"/>
    <x v="3"/>
    <x v="2"/>
    <x v="1"/>
    <n v="1"/>
    <n v="18"/>
    <n v="7"/>
    <n v="0"/>
    <s v="Bank Transfer"/>
    <s v="Bank Transfer"/>
    <s v="Completed"/>
    <s v="Completed"/>
    <s v="Valid"/>
    <s v="james.thompson@example.com"/>
    <n v="18"/>
    <n v="7"/>
    <x v="112"/>
    <n v="0.61111111111111116"/>
  </r>
  <r>
    <s v="ORD-10120"/>
    <x v="196"/>
    <s v="Liam Miller"/>
    <s v="Liam Miller"/>
    <s v=" singapore "/>
    <x v="5"/>
    <x v="10"/>
    <x v="3"/>
    <n v="5"/>
    <n v="245"/>
    <n v="150"/>
    <n v="0.1"/>
    <s v="paypal"/>
    <s v="PayPal"/>
    <s v="Completed"/>
    <s v="Completed"/>
    <s v="Valid"/>
    <s v="liam.miller@example.com"/>
    <n v="1102.5"/>
    <n v="750"/>
    <x v="124"/>
    <n v="0.31972789115646261"/>
  </r>
  <r>
    <s v="ORD-10239"/>
    <x v="227"/>
    <s v="Alex Morgan"/>
    <s v="Alex Morgan"/>
    <s v="US"/>
    <x v="4"/>
    <x v="7"/>
    <x v="0"/>
    <n v="5"/>
    <n v="210"/>
    <n v="125"/>
    <n v="0.05"/>
    <s v="Bank Transfer"/>
    <s v="Bank Transfer"/>
    <s v="Completed"/>
    <s v="Completed"/>
    <s v="Valid"/>
    <s v="alex.morgan@example.com"/>
    <n v="997.5"/>
    <n v="625"/>
    <x v="168"/>
    <n v="0.37343358395989973"/>
  </r>
  <r>
    <s v="ORD-10010"/>
    <x v="175"/>
    <s v="Chloe Lewis"/>
    <s v="Chloe Lewis"/>
    <s v="IN"/>
    <x v="7"/>
    <x v="3"/>
    <x v="2"/>
    <n v="4"/>
    <n v="92"/>
    <n v="53"/>
    <n v="0"/>
    <s v="Bank Transfer"/>
    <s v="Bank Transfer"/>
    <s v="Cancelled"/>
    <s v="Cancelled"/>
    <s v="Valid"/>
    <s v="chloe.lewis@example.com"/>
    <n v="368"/>
    <n v="212"/>
    <x v="101"/>
    <n v="0.42391304347826086"/>
  </r>
  <r>
    <s v="ORD-10445"/>
    <x v="47"/>
    <s v="Ethan Anderson"/>
    <s v="Ethan Anderson"/>
    <s v="Australia"/>
    <x v="1"/>
    <x v="5"/>
    <x v="3"/>
    <n v="2"/>
    <n v="85"/>
    <n v="44"/>
    <n v="0.1"/>
    <s v="Debit Card"/>
    <s v="Debit Card"/>
    <s v="Completed"/>
    <s v="Completed"/>
    <s v="Invalid"/>
    <s v="ethan.anderson@example"/>
    <n v="153"/>
    <n v="88"/>
    <x v="88"/>
    <n v="0.42483660130718953"/>
  </r>
  <r>
    <s v="ORD-10019"/>
    <x v="89"/>
    <s v="Benjamin Walker"/>
    <s v="Benjamin Walker"/>
    <s v="AUS"/>
    <x v="1"/>
    <x v="11"/>
    <x v="3"/>
    <n v="3"/>
    <n v="175"/>
    <n v="105"/>
    <n v="0"/>
    <s v="Debit Card"/>
    <s v="Debit Card"/>
    <s v="Cancelled"/>
    <s v="Cancelled"/>
    <s v="Valid"/>
    <s v="benjamin.walker@example.com"/>
    <n v="525"/>
    <n v="315"/>
    <x v="59"/>
    <n v="0.4"/>
  </r>
  <r>
    <s v="ORD-10154"/>
    <x v="219"/>
    <s v="Ethan Anderson"/>
    <s v="Ethan Anderson"/>
    <s v=" germany "/>
    <x v="3"/>
    <x v="3"/>
    <x v="2"/>
    <n v="1"/>
    <n v="92"/>
    <n v="53"/>
    <n v="0.1"/>
    <s v="paypal"/>
    <s v="PayPal"/>
    <s v="Completed"/>
    <s v="Completed"/>
    <s v="Valid"/>
    <s v="ethan.anderson@example.com"/>
    <n v="82.8"/>
    <n v="53"/>
    <x v="161"/>
    <n v="0.35990338164251207"/>
  </r>
  <r>
    <s v="ORD-10529"/>
    <x v="228"/>
    <s v="Lucas Jackson"/>
    <s v="Lucas Jackson"/>
    <s v="Singapore"/>
    <x v="5"/>
    <x v="6"/>
    <x v="1"/>
    <n v="3"/>
    <n v="42"/>
    <n v="21"/>
    <n v="0.05"/>
    <s v="paypal"/>
    <s v="PayPal"/>
    <s v="Shipped"/>
    <s v="Shipped"/>
    <s v="Valid"/>
    <s v="lucas.jackson@example.com"/>
    <n v="119.69999999999999"/>
    <n v="63"/>
    <x v="8"/>
    <n v="0.47368421052631576"/>
  </r>
  <r>
    <s v="ORD-10432"/>
    <x v="96"/>
    <s v="Ava Thomas"/>
    <s v="Ava Thomas"/>
    <s v="United Kingdom"/>
    <x v="2"/>
    <x v="5"/>
    <x v="3"/>
    <n v="5"/>
    <n v="85"/>
    <n v="44"/>
    <n v="0.1"/>
    <s v="Bank Transfer"/>
    <s v="Bank Transfer"/>
    <s v="Completed"/>
    <s v="Completed"/>
    <s v="Valid"/>
    <s v="ava.thomas@example.com"/>
    <n v="382.5"/>
    <n v="220"/>
    <x v="151"/>
    <n v="0.42483660130718953"/>
  </r>
  <r>
    <s v="ORD-10257"/>
    <x v="229"/>
    <s v="Sophia Taylor"/>
    <s v="Sophia Taylor"/>
    <s v="Canada"/>
    <x v="6"/>
    <x v="9"/>
    <x v="1"/>
    <n v="4"/>
    <n v="65"/>
    <n v="31"/>
    <n v="0.1"/>
    <s v="Bank Transfer"/>
    <s v="Bank Transfer"/>
    <s v="Completed"/>
    <s v="Completed"/>
    <s v="Valid"/>
    <s v="sophia.taylor@example.com"/>
    <n v="234"/>
    <n v="124"/>
    <x v="64"/>
    <n v="0.47008547008547008"/>
  </r>
  <r>
    <s v="ORD-10456"/>
    <x v="178"/>
    <s v="Sophia Taylor"/>
    <s v="Sophia Taylor"/>
    <s v=" uae "/>
    <x v="0"/>
    <x v="7"/>
    <x v="0"/>
    <n v="5"/>
    <n v="210"/>
    <n v="125"/>
    <n v="0.1"/>
    <s v="credit card"/>
    <s v="Credit Card"/>
    <s v="Shipped"/>
    <s v="Shipped"/>
    <s v="Valid"/>
    <s v="sophia.taylor@example.com"/>
    <n v="945"/>
    <n v="625"/>
    <x v="169"/>
    <n v="0.33862433862433861"/>
  </r>
  <r>
    <s v="ORD-10369"/>
    <x v="155"/>
    <s v="Benjamin Walker"/>
    <s v="Benjamin Walker"/>
    <s v=" germany "/>
    <x v="3"/>
    <x v="3"/>
    <x v="2"/>
    <n v="3"/>
    <n v="92"/>
    <n v="53"/>
    <n v="0.05"/>
    <s v="credit card"/>
    <s v="Credit Card"/>
    <s v="Pending"/>
    <s v="Pending"/>
    <s v="Valid"/>
    <s v="benjamin.walker@example.com"/>
    <n v="262.2"/>
    <n v="159"/>
    <x v="137"/>
    <n v="0.39359267734553771"/>
  </r>
  <r>
    <s v="ORD-10305"/>
    <x v="77"/>
    <s v="Ava Thomas"/>
    <s v="Ava Thomas"/>
    <s v="DE"/>
    <x v="3"/>
    <x v="1"/>
    <x v="1"/>
    <n v="4"/>
    <n v="38"/>
    <n v="17"/>
    <n v="0"/>
    <s v="paypal"/>
    <s v="PayPal"/>
    <s v="Pending"/>
    <s v="Pending"/>
    <s v="Valid"/>
    <s v="ava.thomas@example.com"/>
    <n v="152"/>
    <n v="68"/>
    <x v="1"/>
    <n v="0.55263157894736847"/>
  </r>
  <r>
    <s v="ORD-10273"/>
    <x v="230"/>
    <s v="Ava Thomas"/>
    <s v="Ava Thomas"/>
    <s v="India"/>
    <x v="7"/>
    <x v="2"/>
    <x v="1"/>
    <n v="4"/>
    <n v="18"/>
    <n v="7"/>
    <n v="0.1"/>
    <s v="credit card"/>
    <s v="Credit Card"/>
    <s v="Shipped"/>
    <s v="Shipped"/>
    <s v="Valid"/>
    <s v="ava.thomas@example.com"/>
    <n v="64.8"/>
    <n v="28"/>
    <x v="28"/>
    <n v="0.5679012345679012"/>
  </r>
  <r>
    <s v="ORD-10408"/>
    <x v="32"/>
    <s v="Noah Brown"/>
    <s v="Noah Brown"/>
    <s v="UAE"/>
    <x v="0"/>
    <x v="10"/>
    <x v="3"/>
    <n v="4"/>
    <n v="245"/>
    <n v="150"/>
    <n v="0.2"/>
    <s v="credit card"/>
    <s v="Credit Card"/>
    <s v="Pending"/>
    <s v="Pending"/>
    <s v="Valid"/>
    <s v="noah.brown@example.com"/>
    <n v="784"/>
    <n v="600"/>
    <x v="170"/>
    <n v="0.23469387755102042"/>
  </r>
  <r>
    <s v="ORD-10134"/>
    <x v="70"/>
    <s v=" lucas jackson "/>
    <s v="Lucas Jackson"/>
    <s v="Canada"/>
    <x v="6"/>
    <x v="10"/>
    <x v="3"/>
    <n v="3"/>
    <n v="245"/>
    <n v="150"/>
    <n v="0"/>
    <s v="paypal"/>
    <s v="PayPal"/>
    <s v="Shipped"/>
    <s v="Shipped"/>
    <s v="Valid"/>
    <s v="lucas.jackson@example.com"/>
    <n v="735"/>
    <n v="450"/>
    <x v="80"/>
    <n v="0.38775510204081631"/>
  </r>
  <r>
    <s v="ORD-10481"/>
    <x v="231"/>
    <s v="Ella Martin"/>
    <s v="Ella Martin"/>
    <s v="U.K."/>
    <x v="2"/>
    <x v="8"/>
    <x v="3"/>
    <n v="2"/>
    <n v="59"/>
    <n v="30"/>
    <n v="0.15"/>
    <s v="Debit Card"/>
    <s v="Debit Card"/>
    <s v="Cancelled"/>
    <s v="Cancelled"/>
    <s v="Valid"/>
    <s v="ella.martin@example.com"/>
    <n v="100.3"/>
    <n v="60"/>
    <x v="49"/>
    <n v="0.40179461615154533"/>
  </r>
  <r>
    <s v="ORD-10254"/>
    <x v="25"/>
    <s v="Emma Wilson"/>
    <s v="Emma Wilson"/>
    <s v="Singapore"/>
    <x v="5"/>
    <x v="9"/>
    <x v="1"/>
    <n v="4"/>
    <n v="65"/>
    <n v="31"/>
    <n v="0.05"/>
    <s v="paypal"/>
    <s v="PayPal"/>
    <s v="Shipped"/>
    <s v="Shipped"/>
    <s v="Valid"/>
    <s v="emma.wilson@example.com"/>
    <n v="247"/>
    <n v="124"/>
    <x v="12"/>
    <n v="0.49797570850202427"/>
  </r>
  <r>
    <s v="ORD-10271"/>
    <x v="220"/>
    <s v="Benjamin Walker"/>
    <s v="Benjamin Walker"/>
    <s v="Australia"/>
    <x v="1"/>
    <x v="1"/>
    <x v="1"/>
    <n v="1"/>
    <n v="38"/>
    <n v="17"/>
    <n v="0"/>
    <s v="paypal"/>
    <s v="PayPal"/>
    <s v="Completed"/>
    <s v="Completed"/>
    <s v="Valid"/>
    <s v="benjamin.walker@example.com"/>
    <n v="38"/>
    <n v="17"/>
    <x v="126"/>
    <n v="0.55263157894736847"/>
  </r>
  <r>
    <s v="ORD-10162"/>
    <x v="52"/>
    <s v="Olivia Davis"/>
    <s v="Olivia Davis"/>
    <s v="UK"/>
    <x v="2"/>
    <x v="1"/>
    <x v="1"/>
    <n v="5"/>
    <n v="38"/>
    <n v="17"/>
    <n v="0.05"/>
    <s v="Bank Transfer"/>
    <s v="Bank Transfer"/>
    <s v="Completed"/>
    <s v="Completed"/>
    <s v="Valid"/>
    <s v="olivia.davis@example.com"/>
    <n v="180.5"/>
    <n v="85"/>
    <x v="171"/>
    <n v="0.52908587257617734"/>
  </r>
  <r>
    <s v="ORD-10340"/>
    <x v="184"/>
    <s v="Mia White"/>
    <s v="Mia White"/>
    <s v=" canada "/>
    <x v="6"/>
    <x v="10"/>
    <x v="3"/>
    <n v="5"/>
    <n v="245"/>
    <n v="150"/>
    <n v="0.1"/>
    <s v="credit card"/>
    <s v="Credit Card"/>
    <s v="Completed"/>
    <s v="Completed"/>
    <s v="Valid"/>
    <s v="mia.white@example.com"/>
    <n v="1102.5"/>
    <n v="750"/>
    <x v="124"/>
    <n v="0.31972789115646261"/>
  </r>
  <r>
    <s v="ORD-10287"/>
    <x v="142"/>
    <s v="Benjamin Walker"/>
    <s v="Benjamin Walker"/>
    <s v=" australia"/>
    <x v="1"/>
    <x v="5"/>
    <x v="3"/>
    <n v="5"/>
    <n v="85"/>
    <n v="44"/>
    <n v="0"/>
    <s v="credit card"/>
    <s v="Credit Card"/>
    <s v="Pending"/>
    <s v="Pending"/>
    <s v="Valid"/>
    <s v="benjamin.walker@example.com"/>
    <n v="425"/>
    <n v="220"/>
    <x v="172"/>
    <n v="0.4823529411764706"/>
  </r>
  <r>
    <s v="ORD-10422"/>
    <x v="1"/>
    <s v="Noah Brown"/>
    <s v="Noah Brown"/>
    <s v="Singapore"/>
    <x v="5"/>
    <x v="5"/>
    <x v="3"/>
    <n v="4"/>
    <n v="85"/>
    <n v="44"/>
    <n v="0"/>
    <s v="paypal"/>
    <s v="PayPal"/>
    <s v="Pending"/>
    <s v="Pending"/>
    <s v="Valid"/>
    <s v="noah.brown@example.com"/>
    <n v="340"/>
    <n v="176"/>
    <x v="7"/>
    <n v="0.4823529411764706"/>
  </r>
  <r>
    <s v="ORD-10399"/>
    <x v="143"/>
    <s v="Chloe Lewis"/>
    <s v="Chloe Lewis"/>
    <s v=" uae "/>
    <x v="0"/>
    <x v="2"/>
    <x v="1"/>
    <n v="5"/>
    <n v="18"/>
    <n v="7"/>
    <n v="0"/>
    <s v="credit card"/>
    <s v="Credit Card"/>
    <s v="Completed"/>
    <s v="Completed"/>
    <s v="Valid"/>
    <s v="chloe.lewis@example.com"/>
    <n v="90"/>
    <n v="35"/>
    <x v="17"/>
    <n v="0.61111111111111116"/>
  </r>
  <r>
    <s v="ORD-10405"/>
    <x v="232"/>
    <s v="Lily Hall"/>
    <s v="Lily Hall"/>
    <s v="India"/>
    <x v="7"/>
    <x v="7"/>
    <x v="0"/>
    <n v="3"/>
    <n v="210"/>
    <n v="125"/>
    <n v="0.15"/>
    <s v="Debit Card"/>
    <s v="Debit Card"/>
    <s v="Cancelled"/>
    <s v="Cancelled"/>
    <s v="Valid"/>
    <s v="lily.hall@example.com"/>
    <n v="535.5"/>
    <n v="375"/>
    <x v="154"/>
    <n v="0.29971988795518206"/>
  </r>
  <r>
    <s v="ORD-10342"/>
    <x v="49"/>
    <s v="Sophia Taylor"/>
    <s v="Sophia Taylor"/>
    <s v="United Arab Emirates"/>
    <x v="0"/>
    <x v="6"/>
    <x v="1"/>
    <n v="4"/>
    <n v="42"/>
    <n v="21"/>
    <n v="0.2"/>
    <s v="credit card"/>
    <s v="Credit Card"/>
    <s v="Completed"/>
    <s v="Completed"/>
    <s v="Valid"/>
    <s v="sophia.taylor@example.com"/>
    <n v="134.4"/>
    <n v="84"/>
    <x v="107"/>
    <n v="0.375"/>
  </r>
  <r>
    <s v="ORD-10337"/>
    <x v="94"/>
    <s v="Daniel Harris"/>
    <s v="Daniel Harris"/>
    <s v=" germany "/>
    <x v="3"/>
    <x v="3"/>
    <x v="2"/>
    <n v="4"/>
    <n v="92"/>
    <n v="53"/>
    <n v="0.05"/>
    <s v="Debit Card"/>
    <s v="Debit Card"/>
    <s v="Completed"/>
    <s v="Completed"/>
    <s v="Valid"/>
    <s v="daniel.harris@example.com"/>
    <n v="349.59999999999997"/>
    <n v="212"/>
    <x v="173"/>
    <n v="0.39359267734553771"/>
  </r>
  <r>
    <s v="ORD-10512"/>
    <x v="78"/>
    <s v="Noah Brown"/>
    <s v="Noah Brown"/>
    <s v=" singapore "/>
    <x v="5"/>
    <x v="0"/>
    <x v="0"/>
    <n v="5"/>
    <n v="36"/>
    <n v="16"/>
    <n v="0.2"/>
    <s v="Debit Card"/>
    <s v="Debit Card"/>
    <s v="Shipped"/>
    <s v="Shipped"/>
    <s v="Invalid"/>
    <s v="noah.brown@example"/>
    <n v="144"/>
    <n v="80"/>
    <x v="114"/>
    <n v="0.44444444444444442"/>
  </r>
  <r>
    <s v="ORD-10002"/>
    <x v="161"/>
    <s v=" noah brown "/>
    <s v="Noah Brown"/>
    <s v="Germany"/>
    <x v="3"/>
    <x v="10"/>
    <x v="3"/>
    <n v="4"/>
    <n v="245"/>
    <n v="150"/>
    <n v="0"/>
    <s v="paypal"/>
    <s v="PayPal"/>
    <s v="Shipped"/>
    <s v="Shipped"/>
    <s v="Valid"/>
    <s v="noah.brown@example.com"/>
    <n v="980"/>
    <n v="600"/>
    <x v="152"/>
    <n v="0.38775510204081631"/>
  </r>
  <r>
    <s v="ORD-10225"/>
    <x v="8"/>
    <s v="Lucas Jackson"/>
    <s v="Lucas Jackson"/>
    <s v="India"/>
    <x v="7"/>
    <x v="8"/>
    <x v="3"/>
    <n v="3"/>
    <n v="59"/>
    <n v="30"/>
    <n v="0"/>
    <s v="paypal"/>
    <s v="PayPal"/>
    <s v="Completed"/>
    <s v="Completed"/>
    <s v="Valid"/>
    <s v="lucas.jackson@example.com"/>
    <n v="177"/>
    <n v="90"/>
    <x v="78"/>
    <n v="0.49152542372881358"/>
  </r>
  <r>
    <s v="ORD-10208"/>
    <x v="233"/>
    <s v="Ethan Anderson"/>
    <s v="Ethan Anderson"/>
    <s v="Germany"/>
    <x v="3"/>
    <x v="7"/>
    <x v="0"/>
    <n v="5"/>
    <n v="210"/>
    <n v="125"/>
    <n v="0.1"/>
    <s v="paypal"/>
    <s v="PayPal"/>
    <s v="Cancelled"/>
    <s v="Cancelled"/>
    <s v="Valid"/>
    <s v="ethan.anderson@example.com"/>
    <n v="945"/>
    <n v="625"/>
    <x v="169"/>
    <n v="0.33862433862433861"/>
  </r>
  <r>
    <s v="ORD-10118"/>
    <x v="234"/>
    <s v=" liam miller "/>
    <s v="Liam Miller"/>
    <s v=" united states "/>
    <x v="4"/>
    <x v="4"/>
    <x v="2"/>
    <n v="3"/>
    <n v="78"/>
    <n v="45"/>
    <n v="0.1"/>
    <s v="Debit Card"/>
    <s v="Debit Card"/>
    <s v="Completed"/>
    <s v="Completed"/>
    <s v="Valid"/>
    <s v="liam.miller@example.com"/>
    <n v="210.6"/>
    <n v="135"/>
    <x v="22"/>
    <n v="0.35897435897435898"/>
  </r>
  <r>
    <s v="ORD-10508"/>
    <x v="166"/>
    <s v=" ella martin "/>
    <s v="Ella Martin"/>
    <s v="Australia"/>
    <x v="1"/>
    <x v="9"/>
    <x v="1"/>
    <n v="5"/>
    <n v="65"/>
    <n v="31"/>
    <n v="0.15"/>
    <s v="Bank Transfer"/>
    <s v="Bank Transfer"/>
    <s v="Shipped"/>
    <s v="Shipped"/>
    <s v="Valid"/>
    <s v="ella.martin@example.com"/>
    <n v="276.25"/>
    <n v="155"/>
    <x v="39"/>
    <n v="0.43891402714932126"/>
  </r>
  <r>
    <s v="ORD-10419"/>
    <x v="235"/>
    <s v="James Thompson"/>
    <s v="James Thompson"/>
    <s v="U.K."/>
    <x v="2"/>
    <x v="1"/>
    <x v="1"/>
    <n v="3"/>
    <n v="38"/>
    <n v="17"/>
    <n v="0.05"/>
    <s v="paypal"/>
    <s v="PayPal"/>
    <s v="Shipped"/>
    <s v="Shipped"/>
    <s v="Valid"/>
    <s v="james.thompson@example.com"/>
    <n v="108.3"/>
    <n v="51"/>
    <x v="174"/>
    <n v="0.52908587257617723"/>
  </r>
  <r>
    <s v="ORD-10527"/>
    <x v="236"/>
    <s v="Emma Wilson"/>
    <s v="Emma Wilson"/>
    <s v="UAE"/>
    <x v="0"/>
    <x v="5"/>
    <x v="3"/>
    <n v="5"/>
    <n v="85"/>
    <n v="44"/>
    <n v="0"/>
    <s v="Bank Transfer"/>
    <s v="Bank Transfer"/>
    <s v="Completed"/>
    <s v="Completed"/>
    <s v="Valid"/>
    <s v="emma.wilson@example.com"/>
    <n v="425"/>
    <n v="220"/>
    <x v="172"/>
    <n v="0.4823529411764706"/>
  </r>
  <r>
    <s v="ORD-10265"/>
    <x v="237"/>
    <s v="Liam Miller"/>
    <s v="Liam Miller"/>
    <s v="Germany"/>
    <x v="3"/>
    <x v="9"/>
    <x v="1"/>
    <n v="5"/>
    <n v="65"/>
    <n v="31"/>
    <n v="0"/>
    <s v="credit card"/>
    <s v="Credit Card"/>
    <s v="Cancelled"/>
    <s v="Cancelled"/>
    <s v="Valid"/>
    <s v="liam.miller@example.com"/>
    <n v="325"/>
    <n v="155"/>
    <x v="67"/>
    <n v="0.52307692307692311"/>
  </r>
  <r>
    <s v="ORD-10275"/>
    <x v="238"/>
    <s v="Alex Morgan"/>
    <s v="Alex Morgan"/>
    <s v=" united kingdom"/>
    <x v="2"/>
    <x v="1"/>
    <x v="1"/>
    <n v="2"/>
    <n v="38"/>
    <n v="17"/>
    <n v="0"/>
    <s v="Bank Transfer"/>
    <s v="Bank Transfer"/>
    <s v="Cancelled"/>
    <s v="Cancelled"/>
    <s v="Valid"/>
    <s v="alex.morgan@example.com"/>
    <n v="76"/>
    <n v="34"/>
    <x v="90"/>
    <n v="0.55263157894736847"/>
  </r>
  <r>
    <s v="ORD-10129"/>
    <x v="239"/>
    <s v="Sophia Taylor"/>
    <s v="Sophia Taylor"/>
    <s v="DE"/>
    <x v="3"/>
    <x v="4"/>
    <x v="2"/>
    <n v="5"/>
    <n v="78"/>
    <n v="45"/>
    <n v="0"/>
    <s v="Bank Transfer"/>
    <s v="Bank Transfer"/>
    <s v="Pending"/>
    <s v="Pending"/>
    <s v="Valid"/>
    <s v="sophia.taylor@example.com"/>
    <n v="390"/>
    <n v="225"/>
    <x v="175"/>
    <n v="0.42307692307692307"/>
  </r>
  <r>
    <s v="ORD-10415"/>
    <x v="174"/>
    <s v=" james thompson "/>
    <s v="James Thompson"/>
    <s v="AUS"/>
    <x v="1"/>
    <x v="11"/>
    <x v="3"/>
    <n v="1"/>
    <n v="175"/>
    <n v="105"/>
    <n v="0"/>
    <s v="paypal"/>
    <s v="PayPal"/>
    <s v="Completed"/>
    <s v="Completed"/>
    <s v="Valid"/>
    <s v="james.thompson@example.com"/>
    <n v="175"/>
    <n v="105"/>
    <x v="95"/>
    <n v="0.4"/>
  </r>
  <r>
    <s v="ORD-10099"/>
    <x v="240"/>
    <s v="Ethan Anderson"/>
    <s v="Ethan Anderson"/>
    <s v=" canada "/>
    <x v="6"/>
    <x v="7"/>
    <x v="0"/>
    <n v="4"/>
    <n v="210"/>
    <n v="125"/>
    <n v="0.15"/>
    <s v="credit card"/>
    <s v="Credit Card"/>
    <s v="Completed"/>
    <s v="Completed"/>
    <s v="Valid"/>
    <s v="ethan.anderson@example.com"/>
    <n v="714"/>
    <n v="500"/>
    <x v="176"/>
    <n v="0.29971988795518206"/>
  </r>
  <r>
    <s v="ORD-10436"/>
    <x v="241"/>
    <s v="Chloe Lewis"/>
    <s v="Chloe Lewis"/>
    <s v="US"/>
    <x v="4"/>
    <x v="10"/>
    <x v="3"/>
    <n v="4"/>
    <n v="245"/>
    <n v="150"/>
    <n v="0"/>
    <s v="paypal"/>
    <s v="PayPal"/>
    <s v="Shipped"/>
    <s v="Shipped"/>
    <s v="Valid"/>
    <s v="chloe.lewis@example.com"/>
    <n v="980"/>
    <n v="600"/>
    <x v="152"/>
    <n v="0.38775510204081631"/>
  </r>
  <r>
    <s v="ORD-10022"/>
    <x v="148"/>
    <s v="Chloe Lewis"/>
    <s v="Chloe Lewis"/>
    <s v="UK"/>
    <x v="2"/>
    <x v="3"/>
    <x v="2"/>
    <n v="2"/>
    <n v="92"/>
    <n v="53"/>
    <n v="0"/>
    <s v="paypal"/>
    <s v="PayPal"/>
    <s v="Completed"/>
    <s v="Completed"/>
    <s v="Valid"/>
    <s v="chloe.lewis@example.com"/>
    <n v="184"/>
    <n v="106"/>
    <x v="100"/>
    <n v="0.42391304347826086"/>
  </r>
  <r>
    <s v="ORD-10194"/>
    <x v="242"/>
    <s v="Ella Martin"/>
    <s v="Ella Martin"/>
    <s v=" singapore "/>
    <x v="5"/>
    <x v="3"/>
    <x v="2"/>
    <n v="4"/>
    <n v="92"/>
    <n v="53"/>
    <n v="0"/>
    <s v="credit card"/>
    <s v="Credit Card"/>
    <s v="Pending"/>
    <s v="Pending"/>
    <s v="Valid"/>
    <s v="ella.martin@example.com"/>
    <n v="368"/>
    <n v="212"/>
    <x v="101"/>
    <n v="0.42391304347826086"/>
  </r>
  <r>
    <s v="ORD-10006"/>
    <x v="243"/>
    <s v="Mia White"/>
    <s v="Mia White"/>
    <s v="AUS"/>
    <x v="1"/>
    <x v="10"/>
    <x v="3"/>
    <n v="2"/>
    <n v="245"/>
    <n v="150"/>
    <n v="0.05"/>
    <s v="paypal"/>
    <s v="PayPal"/>
    <s v="Completed"/>
    <s v="Completed"/>
    <s v="Valid"/>
    <s v="mia.white@example.com"/>
    <n v="465.5"/>
    <n v="300"/>
    <x v="177"/>
    <n v="0.35553168635875404"/>
  </r>
  <r>
    <s v="ORD-10490"/>
    <x v="244"/>
    <s v="Sophia Taylor"/>
    <s v="Sophia Taylor"/>
    <s v="USA"/>
    <x v="4"/>
    <x v="1"/>
    <x v="1"/>
    <n v="4"/>
    <n v="38"/>
    <n v="17"/>
    <n v="0.05"/>
    <s v="credit card"/>
    <s v="Credit Card"/>
    <s v="Cancelled"/>
    <s v="Cancelled"/>
    <s v="Invalid"/>
    <s v="sophia.taylor@example"/>
    <n v="144.4"/>
    <n v="68"/>
    <x v="51"/>
    <n v="0.52908587257617734"/>
  </r>
  <r>
    <s v="ORD-10314"/>
    <x v="245"/>
    <s v="Alex Morgan"/>
    <s v="Alex Morgan"/>
    <s v="Australia"/>
    <x v="1"/>
    <x v="0"/>
    <x v="0"/>
    <n v="5"/>
    <n v="36"/>
    <n v="16"/>
    <n v="0.1"/>
    <s v="Bank Transfer"/>
    <s v="Bank Transfer"/>
    <s v="Completed"/>
    <s v="Completed"/>
    <s v="Valid"/>
    <s v="alex.morgan@example.com"/>
    <n v="162"/>
    <n v="80"/>
    <x v="83"/>
    <n v="0.50617283950617287"/>
  </r>
  <r>
    <s v="ORD-10380"/>
    <x v="241"/>
    <s v="Ava Thomas"/>
    <s v="Ava Thomas"/>
    <s v=" singapore "/>
    <x v="5"/>
    <x v="11"/>
    <x v="3"/>
    <n v="3"/>
    <n v="175"/>
    <n v="105"/>
    <n v="0"/>
    <s v="paypal"/>
    <s v="PayPal"/>
    <s v="Completed"/>
    <s v="Completed"/>
    <s v="Valid"/>
    <s v="ava.thomas@example.com"/>
    <n v="525"/>
    <n v="315"/>
    <x v="59"/>
    <n v="0.4"/>
  </r>
  <r>
    <s v="ORD-10136"/>
    <x v="246"/>
    <s v="James Thompson"/>
    <s v="James Thompson"/>
    <s v="IN"/>
    <x v="7"/>
    <x v="0"/>
    <x v="0"/>
    <n v="5"/>
    <n v="36"/>
    <n v="16"/>
    <n v="0.15"/>
    <s v="paypal"/>
    <s v="PayPal"/>
    <s v="Cancelled"/>
    <s v="Cancelled"/>
    <s v="Valid"/>
    <s v="james.thompson@example.com"/>
    <n v="153"/>
    <n v="80"/>
    <x v="178"/>
    <n v="0.47712418300653597"/>
  </r>
  <r>
    <s v="ORD-10355"/>
    <x v="216"/>
    <s v="Henry Clark"/>
    <s v="Henry Clark"/>
    <s v="U.A.E."/>
    <x v="0"/>
    <x v="6"/>
    <x v="1"/>
    <n v="5"/>
    <n v="42"/>
    <n v="21"/>
    <n v="0"/>
    <s v="Debit Card"/>
    <s v="Debit Card"/>
    <s v="Cancelled"/>
    <s v="Cancelled"/>
    <s v="Valid"/>
    <s v="henry.clark@example.com"/>
    <n v="210"/>
    <n v="105"/>
    <x v="61"/>
    <n v="0.5"/>
  </r>
  <r>
    <s v="ORD-10346"/>
    <x v="185"/>
    <s v="Benjamin Walker"/>
    <s v="Benjamin Walker"/>
    <s v="US"/>
    <x v="4"/>
    <x v="2"/>
    <x v="1"/>
    <n v="1"/>
    <n v="18"/>
    <n v="7"/>
    <n v="0"/>
    <s v="Bank Transfer"/>
    <s v="Bank Transfer"/>
    <s v="Completed"/>
    <s v="Completed"/>
    <s v="Valid"/>
    <s v="benjamin.walker@example.com"/>
    <n v="18"/>
    <n v="7"/>
    <x v="112"/>
    <n v="0.61111111111111116"/>
  </r>
  <r>
    <s v="ORD-10523"/>
    <x v="82"/>
    <s v="Daniel Harris"/>
    <s v="Daniel Harris"/>
    <s v="US"/>
    <x v="4"/>
    <x v="3"/>
    <x v="2"/>
    <n v="1"/>
    <n v="92"/>
    <n v="53"/>
    <n v="0"/>
    <s v="credit card"/>
    <s v="Credit Card"/>
    <s v="Pending"/>
    <s v="Pending"/>
    <s v="Valid"/>
    <s v="daniel.harris@example.com"/>
    <n v="92"/>
    <n v="53"/>
    <x v="3"/>
    <n v="0.42391304347826086"/>
  </r>
  <r>
    <s v="ORD-10449"/>
    <x v="247"/>
    <s v="Henry Clark"/>
    <s v="Henry Clark"/>
    <s v="USA"/>
    <x v="4"/>
    <x v="4"/>
    <x v="2"/>
    <n v="1"/>
    <n v="78"/>
    <n v="45"/>
    <n v="0.05"/>
    <s v="paypal"/>
    <s v="PayPal"/>
    <s v="Pending"/>
    <s v="Pending"/>
    <s v="Valid"/>
    <s v="henry.clark@example.com"/>
    <n v="74.099999999999994"/>
    <n v="45"/>
    <x v="66"/>
    <n v="0.39271255060728738"/>
  </r>
  <r>
    <s v="ORD-10328"/>
    <x v="248"/>
    <s v="Chloe Lewis"/>
    <s v="Chloe Lewis"/>
    <s v=" india "/>
    <x v="7"/>
    <x v="3"/>
    <x v="2"/>
    <n v="4"/>
    <n v="92"/>
    <n v="53"/>
    <n v="0.2"/>
    <s v="paypal"/>
    <s v="PayPal"/>
    <s v="Completed"/>
    <s v="Completed"/>
    <s v="Valid"/>
    <s v="chloe.lewis@example.com"/>
    <n v="294.40000000000003"/>
    <n v="212"/>
    <x v="45"/>
    <n v="0.27989130434782616"/>
  </r>
  <r>
    <s v="ORD-10199"/>
    <x v="190"/>
    <s v="Mia White"/>
    <s v="Mia White"/>
    <s v="U.A.E."/>
    <x v="0"/>
    <x v="4"/>
    <x v="2"/>
    <n v="2"/>
    <n v="78"/>
    <n v="45"/>
    <n v="0.05"/>
    <s v="Debit Card"/>
    <s v="Debit Card"/>
    <s v="Completed"/>
    <s v="Completed"/>
    <s v="Valid"/>
    <s v="mia.white@example.com"/>
    <n v="148.19999999999999"/>
    <n v="90"/>
    <x v="128"/>
    <n v="0.39271255060728738"/>
  </r>
  <r>
    <s v="ORD-10495"/>
    <x v="185"/>
    <s v=" liam miller "/>
    <s v="Liam Miller"/>
    <s v="United Arab Emirates"/>
    <x v="0"/>
    <x v="5"/>
    <x v="3"/>
    <n v="4"/>
    <n v="85"/>
    <n v="44"/>
    <n v="0"/>
    <s v="credit card"/>
    <s v="Credit Card"/>
    <s v="Completed"/>
    <s v="Completed"/>
    <s v="Valid"/>
    <s v="liam.miller@example.com"/>
    <n v="340"/>
    <n v="176"/>
    <x v="7"/>
    <n v="0.4823529411764706"/>
  </r>
  <r>
    <s v="ORD-10204"/>
    <x v="114"/>
    <s v="Emma Wilson"/>
    <s v="Emma Wilson"/>
    <s v="Germany"/>
    <x v="3"/>
    <x v="6"/>
    <x v="1"/>
    <n v="3"/>
    <n v="42"/>
    <n v="21"/>
    <n v="0"/>
    <s v="credit card"/>
    <s v="Credit Card"/>
    <s v="Cancelled"/>
    <s v="Cancelled"/>
    <s v="Valid"/>
    <s v="emma.wilson@example.com"/>
    <n v="126"/>
    <n v="63"/>
    <x v="11"/>
    <n v="0.5"/>
  </r>
  <r>
    <s v="ORD-10068"/>
    <x v="249"/>
    <s v="Mia White"/>
    <s v="Mia White"/>
    <s v="United States"/>
    <x v="4"/>
    <x v="6"/>
    <x v="1"/>
    <n v="5"/>
    <n v="42"/>
    <n v="21"/>
    <n v="0.1"/>
    <s v="Debit Card"/>
    <s v="Debit Card"/>
    <s v="Completed"/>
    <s v="Completed"/>
    <s v="Valid"/>
    <s v="mia.white@example.com"/>
    <n v="189"/>
    <n v="105"/>
    <x v="1"/>
    <n v="0.44444444444444442"/>
  </r>
  <r>
    <s v="ORD-10224"/>
    <x v="250"/>
    <s v="Ava Thomas"/>
    <s v="Ava Thomas"/>
    <s v="DE"/>
    <x v="3"/>
    <x v="0"/>
    <x v="0"/>
    <n v="3"/>
    <n v="36"/>
    <n v="16"/>
    <n v="0.2"/>
    <s v="paypal"/>
    <s v="PayPal"/>
    <s v="Completed"/>
    <s v="Completed"/>
    <s v="Valid"/>
    <s v="ava.thomas@example.com"/>
    <n v="86.4"/>
    <n v="48"/>
    <x v="179"/>
    <n v="0.44444444444444448"/>
  </r>
  <r>
    <s v="ORD-10128"/>
    <x v="251"/>
    <s v=" chloe lewis "/>
    <s v="Chloe Lewis"/>
    <s v=" australia"/>
    <x v="1"/>
    <x v="9"/>
    <x v="1"/>
    <n v="2"/>
    <n v="65"/>
    <n v="31"/>
    <n v="0"/>
    <s v="credit card"/>
    <s v="Credit Card"/>
    <s v="Completed"/>
    <s v="Completed"/>
    <s v="Valid"/>
    <s v="chloe.lewis@example.com"/>
    <n v="130"/>
    <n v="62"/>
    <x v="120"/>
    <n v="0.52307692307692311"/>
  </r>
  <r>
    <s v="ORD-10144"/>
    <x v="252"/>
    <s v=" ella martin "/>
    <s v="Ella Martin"/>
    <s v=" australia"/>
    <x v="1"/>
    <x v="0"/>
    <x v="0"/>
    <n v="3"/>
    <n v="36"/>
    <n v="16"/>
    <n v="0"/>
    <s v="Bank Transfer"/>
    <s v="Bank Transfer"/>
    <s v="Pending"/>
    <s v="Pending"/>
    <s v="Valid"/>
    <s v="ella.martin@example.com"/>
    <n v="108"/>
    <n v="48"/>
    <x v="0"/>
    <n v="0.55555555555555558"/>
  </r>
  <r>
    <s v="ORD-10327"/>
    <x v="80"/>
    <s v="Benjamin Walker"/>
    <s v="Benjamin Walker"/>
    <s v="DE"/>
    <x v="3"/>
    <x v="0"/>
    <x v="0"/>
    <n v="3"/>
    <n v="36"/>
    <n v="16"/>
    <n v="0.1"/>
    <s v="Bank Transfer"/>
    <s v="Bank Transfer"/>
    <s v="Completed"/>
    <s v="Completed"/>
    <s v="Valid"/>
    <s v="benjamin.walker@example.com"/>
    <n v="97.2"/>
    <n v="48"/>
    <x v="180"/>
    <n v="0.50617283950617287"/>
  </r>
  <r>
    <s v="ORD-10479"/>
    <x v="229"/>
    <s v="Emma Wilson"/>
    <s v="Emma Wilson"/>
    <s v=" india "/>
    <x v="7"/>
    <x v="9"/>
    <x v="1"/>
    <n v="4"/>
    <n v="65"/>
    <n v="31"/>
    <n v="0.05"/>
    <s v="paypal"/>
    <s v="PayPal"/>
    <s v="Shipped"/>
    <s v="Shipped"/>
    <s v="Valid"/>
    <s v="emma.wilson@example.com"/>
    <n v="247"/>
    <n v="124"/>
    <x v="12"/>
    <n v="0.49797570850202427"/>
  </r>
  <r>
    <s v="ORD-10140"/>
    <x v="233"/>
    <s v="Ethan Anderson"/>
    <s v="Ethan Anderson"/>
    <s v="United Kingdom"/>
    <x v="2"/>
    <x v="1"/>
    <x v="1"/>
    <n v="5"/>
    <n v="38"/>
    <n v="17"/>
    <n v="0.05"/>
    <s v="Bank Transfer"/>
    <s v="Bank Transfer"/>
    <s v="Pending"/>
    <s v="Pending"/>
    <s v="Valid"/>
    <s v="ethan.anderson@example.com"/>
    <n v="180.5"/>
    <n v="85"/>
    <x v="171"/>
    <n v="0.52908587257617734"/>
  </r>
  <r>
    <s v="ORD-10219"/>
    <x v="21"/>
    <s v="Ella Martin"/>
    <s v="Ella Martin"/>
    <s v=" united kingdom"/>
    <x v="2"/>
    <x v="0"/>
    <x v="0"/>
    <n v="1"/>
    <n v="36"/>
    <n v="16"/>
    <n v="0"/>
    <s v="credit card"/>
    <s v="Credit Card"/>
    <s v="Completed"/>
    <s v="Completed"/>
    <s v="Valid"/>
    <s v="ella.martin@example.com"/>
    <n v="36"/>
    <n v="16"/>
    <x v="165"/>
    <n v="0.55555555555555558"/>
  </r>
  <r>
    <s v="ORD-10503"/>
    <x v="248"/>
    <s v="Noah Brown"/>
    <s v="Noah Brown"/>
    <s v="AUS"/>
    <x v="1"/>
    <x v="9"/>
    <x v="1"/>
    <n v="4"/>
    <n v="65"/>
    <n v="31"/>
    <n v="0.15"/>
    <s v="credit card"/>
    <s v="Credit Card"/>
    <s v="Shipped"/>
    <s v="Shipped"/>
    <s v="Valid"/>
    <s v="noah.brown@example.com"/>
    <n v="221"/>
    <n v="124"/>
    <x v="129"/>
    <n v="0.43891402714932126"/>
  </r>
  <r>
    <s v="ORD-10331"/>
    <x v="8"/>
    <s v="Lily Hall"/>
    <s v="Lily Hall"/>
    <s v="Canada"/>
    <x v="6"/>
    <x v="2"/>
    <x v="1"/>
    <n v="1"/>
    <n v="18"/>
    <n v="7"/>
    <n v="0"/>
    <s v="credit card"/>
    <s v="Credit Card"/>
    <s v="Shipped"/>
    <s v="Shipped"/>
    <s v="Valid"/>
    <s v="lily.hall@example.com"/>
    <n v="18"/>
    <n v="7"/>
    <x v="112"/>
    <n v="0.61111111111111116"/>
  </r>
  <r>
    <s v="ORD-10158"/>
    <x v="253"/>
    <s v="James Thompson"/>
    <s v="James Thompson"/>
    <s v="Singapore"/>
    <x v="5"/>
    <x v="0"/>
    <x v="0"/>
    <n v="4"/>
    <n v="36"/>
    <n v="16"/>
    <n v="0"/>
    <s v="Debit Card"/>
    <s v="Debit Card"/>
    <s v="Pending"/>
    <s v="Pending"/>
    <s v="Valid"/>
    <s v="james.thompson@example.com"/>
    <n v="144"/>
    <n v="64"/>
    <x v="13"/>
    <n v="0.55555555555555558"/>
  </r>
  <r>
    <s v="ORD-10095"/>
    <x v="254"/>
    <s v="Olivia Davis"/>
    <s v="Olivia Davis"/>
    <s v=" australia"/>
    <x v="1"/>
    <x v="10"/>
    <x v="3"/>
    <n v="3"/>
    <n v="245"/>
    <n v="150"/>
    <n v="0.15"/>
    <s v="paypal"/>
    <s v="PayPal"/>
    <s v="Cancelled"/>
    <s v="Cancelled"/>
    <s v="Valid"/>
    <s v="olivia.davis@example.com"/>
    <n v="624.75"/>
    <n v="450"/>
    <x v="73"/>
    <n v="0.27971188475390157"/>
  </r>
  <r>
    <s v="ORD-10256"/>
    <x v="255"/>
    <s v="Daniel Harris"/>
    <s v="Daniel Harris"/>
    <s v="IN"/>
    <x v="7"/>
    <x v="11"/>
    <x v="3"/>
    <n v="1"/>
    <n v="175"/>
    <n v="105"/>
    <n v="0.15"/>
    <s v="credit card"/>
    <s v="Credit Card"/>
    <s v="Completed"/>
    <s v="Completed"/>
    <s v="Valid"/>
    <s v="daniel.harris@example.com"/>
    <n v="148.75"/>
    <n v="105"/>
    <x v="181"/>
    <n v="0.29411764705882354"/>
  </r>
  <r>
    <s v="ORD-10080"/>
    <x v="215"/>
    <s v="Ava Thomas"/>
    <s v="Ava Thomas"/>
    <s v=" singapore "/>
    <x v="5"/>
    <x v="10"/>
    <x v="3"/>
    <n v="1"/>
    <n v="245"/>
    <n v="150"/>
    <n v="0"/>
    <s v="paypal"/>
    <s v="PayPal"/>
    <s v="Pending"/>
    <s v="Pending"/>
    <s v="Valid"/>
    <s v="ava.thomas@example.com"/>
    <n v="245"/>
    <n v="150"/>
    <x v="68"/>
    <n v="0.38775510204081631"/>
  </r>
  <r>
    <s v="ORD-10132"/>
    <x v="114"/>
    <s v="Benjamin Walker"/>
    <s v="Benjamin Walker"/>
    <s v="US"/>
    <x v="4"/>
    <x v="11"/>
    <x v="3"/>
    <n v="1"/>
    <n v="175"/>
    <n v="105"/>
    <n v="0.15"/>
    <s v="paypal"/>
    <s v="PayPal"/>
    <s v="Completed"/>
    <s v="Completed"/>
    <s v="Valid"/>
    <s v="benjamin.walker@example.com"/>
    <n v="148.75"/>
    <n v="105"/>
    <x v="181"/>
    <n v="0.29411764705882354"/>
  </r>
  <r>
    <s v="ORD-10227"/>
    <x v="256"/>
    <s v="Noah Brown"/>
    <s v="Noah Brown"/>
    <s v="Australia"/>
    <x v="1"/>
    <x v="1"/>
    <x v="1"/>
    <n v="2"/>
    <n v="38"/>
    <n v="17"/>
    <n v="0.15"/>
    <s v="paypal"/>
    <s v="PayPal"/>
    <s v="Cancelled"/>
    <s v="Cancelled"/>
    <s v="Valid"/>
    <s v="noah.brown@example.com"/>
    <n v="64.599999999999994"/>
    <n v="34"/>
    <x v="63"/>
    <n v="0.47368421052631576"/>
  </r>
  <r>
    <s v="ORD-10040"/>
    <x v="257"/>
    <s v="Ethan Anderson"/>
    <s v="Ethan Anderson"/>
    <s v="AUS"/>
    <x v="1"/>
    <x v="8"/>
    <x v="3"/>
    <n v="2"/>
    <n v="59"/>
    <n v="30"/>
    <n v="0.1"/>
    <s v="credit card"/>
    <s v="Credit Card"/>
    <s v="Pending"/>
    <s v="Pending"/>
    <s v="Valid"/>
    <s v="ethan.anderson@example.com"/>
    <n v="106.2"/>
    <n v="60"/>
    <x v="182"/>
    <n v="0.43502824858757061"/>
  </r>
  <r>
    <s v="ORD-10131"/>
    <x v="218"/>
    <s v="Lucas Jackson"/>
    <s v="Lucas Jackson"/>
    <s v=" canada "/>
    <x v="6"/>
    <x v="4"/>
    <x v="2"/>
    <n v="2"/>
    <n v="78"/>
    <n v="45"/>
    <n v="0.05"/>
    <s v="credit card"/>
    <s v="Credit Card"/>
    <s v="Pending"/>
    <s v="Pending"/>
    <s v="Valid"/>
    <s v="lucas.jackson@example.com"/>
    <n v="148.19999999999999"/>
    <n v="90"/>
    <x v="128"/>
    <n v="0.39271255060728738"/>
  </r>
  <r>
    <s v="ORD-10190"/>
    <x v="48"/>
    <s v="Ava Thomas"/>
    <s v="Ava Thomas"/>
    <s v="U.K."/>
    <x v="2"/>
    <x v="5"/>
    <x v="3"/>
    <n v="5"/>
    <n v="85"/>
    <n v="44"/>
    <n v="0"/>
    <s v="credit card"/>
    <s v="Credit Card"/>
    <s v="Completed"/>
    <s v="Completed"/>
    <s v="Valid"/>
    <s v="ava.thomas@example.com"/>
    <n v="425"/>
    <n v="220"/>
    <x v="172"/>
    <n v="0.4823529411764706"/>
  </r>
  <r>
    <s v="ORD-10220"/>
    <x v="94"/>
    <s v="Henry Clark"/>
    <s v="Henry Clark"/>
    <s v=" singapore "/>
    <x v="5"/>
    <x v="11"/>
    <x v="3"/>
    <n v="1"/>
    <n v="175"/>
    <n v="105"/>
    <n v="0"/>
    <s v="paypal"/>
    <s v="PayPal"/>
    <s v="Pending"/>
    <s v="Pending"/>
    <s v="Valid"/>
    <s v="henry.clark@example.com"/>
    <n v="175"/>
    <n v="105"/>
    <x v="95"/>
    <n v="0.4"/>
  </r>
  <r>
    <s v="ORD-10520"/>
    <x v="258"/>
    <s v="Daniel Harris"/>
    <s v="Daniel Harris"/>
    <s v=" india "/>
    <x v="7"/>
    <x v="0"/>
    <x v="0"/>
    <n v="1"/>
    <n v="36"/>
    <n v="16"/>
    <n v="0.1"/>
    <s v="Bank Transfer"/>
    <s v="Bank Transfer"/>
    <s v="Pending"/>
    <s v="Pending"/>
    <s v="Valid"/>
    <s v="daniel.harris@example.com"/>
    <n v="32.4"/>
    <n v="16"/>
    <x v="30"/>
    <n v="0.50617283950617287"/>
  </r>
  <r>
    <s v="ORD-10403"/>
    <x v="134"/>
    <s v="Daniel Harris"/>
    <s v="Daniel Harris"/>
    <s v=" canada "/>
    <x v="6"/>
    <x v="6"/>
    <x v="1"/>
    <n v="2"/>
    <n v="42"/>
    <n v="21"/>
    <n v="0.1"/>
    <s v="Bank Transfer"/>
    <s v="Bank Transfer"/>
    <s v="Completed"/>
    <s v="Completed"/>
    <s v="Valid"/>
    <s v="daniel.harris@example.com"/>
    <n v="75.600000000000009"/>
    <n v="42"/>
    <x v="123"/>
    <n v="0.44444444444444453"/>
  </r>
  <r>
    <s v="ORD-10249"/>
    <x v="218"/>
    <s v="Chloe Lewis"/>
    <s v="Chloe Lewis"/>
    <s v="AUS"/>
    <x v="1"/>
    <x v="0"/>
    <x v="0"/>
    <n v="4"/>
    <n v="36"/>
    <n v="16"/>
    <n v="0"/>
    <s v="paypal"/>
    <s v="PayPal"/>
    <s v="Completed"/>
    <s v="Completed"/>
    <s v="Valid"/>
    <s v="chloe.lewis@example.com"/>
    <n v="144"/>
    <n v="64"/>
    <x v="13"/>
    <n v="0.55555555555555558"/>
  </r>
  <r>
    <s v="ORD-10039"/>
    <x v="17"/>
    <s v="Grace Moore"/>
    <s v="Grace Moore"/>
    <s v=" united kingdom"/>
    <x v="2"/>
    <x v="0"/>
    <x v="0"/>
    <n v="3"/>
    <n v="36"/>
    <n v="16"/>
    <n v="0.1"/>
    <s v="paypal"/>
    <s v="PayPal"/>
    <s v="Completed"/>
    <s v="Completed"/>
    <s v="Valid"/>
    <s v="grace.moore@example.com"/>
    <n v="97.2"/>
    <n v="48"/>
    <x v="180"/>
    <n v="0.50617283950617287"/>
  </r>
  <r>
    <s v="ORD-10243"/>
    <x v="107"/>
    <s v="Liam Miller"/>
    <s v="Liam Miller"/>
    <s v=" uae "/>
    <x v="0"/>
    <x v="5"/>
    <x v="3"/>
    <n v="2"/>
    <n v="85"/>
    <n v="44"/>
    <n v="0.05"/>
    <s v="paypal"/>
    <s v="PayPal"/>
    <s v="Completed"/>
    <s v="Completed"/>
    <s v="Valid"/>
    <s v="liam.miller@example.com"/>
    <n v="161.5"/>
    <n v="88"/>
    <x v="150"/>
    <n v="0.45510835913312692"/>
  </r>
  <r>
    <s v="ORD-10373"/>
    <x v="230"/>
    <s v="Lily Hall"/>
    <s v="Lily Hall"/>
    <s v="United States"/>
    <x v="4"/>
    <x v="8"/>
    <x v="3"/>
    <n v="2"/>
    <n v="59"/>
    <n v="30"/>
    <n v="0.15"/>
    <s v="Bank Transfer"/>
    <s v="Bank Transfer"/>
    <s v="Shipped"/>
    <s v="Shipped"/>
    <s v="Valid"/>
    <s v="lily.hall@example.com"/>
    <n v="100.3"/>
    <n v="60"/>
    <x v="49"/>
    <n v="0.40179461615154533"/>
  </r>
  <r>
    <s v="ORD-10354"/>
    <x v="59"/>
    <s v="Grace Moore"/>
    <s v="Grace Moore"/>
    <s v="UAE"/>
    <x v="0"/>
    <x v="2"/>
    <x v="1"/>
    <n v="1"/>
    <n v="18"/>
    <n v="7"/>
    <n v="0.05"/>
    <s v="paypal"/>
    <s v="PayPal"/>
    <s v="Completed"/>
    <s v="Completed"/>
    <s v="Valid"/>
    <s v="grace.moore@example.com"/>
    <n v="17.099999999999998"/>
    <n v="7"/>
    <x v="2"/>
    <n v="0.59064327485380108"/>
  </r>
  <r>
    <s v="ORD-10488"/>
    <x v="62"/>
    <s v="Noah Brown"/>
    <s v="Noah Brown"/>
    <s v="United Kingdom"/>
    <x v="2"/>
    <x v="5"/>
    <x v="3"/>
    <n v="3"/>
    <n v="85"/>
    <n v="44"/>
    <n v="0.15"/>
    <s v="credit card"/>
    <s v="Credit Card"/>
    <s v="Cancelled"/>
    <s v="Cancelled"/>
    <s v="Valid"/>
    <s v="noah.brown@example.com"/>
    <n v="216.75"/>
    <n v="132"/>
    <x v="183"/>
    <n v="0.39100346020761245"/>
  </r>
  <r>
    <s v="ORD-10139"/>
    <x v="259"/>
    <s v="Mia White"/>
    <s v="Mia White"/>
    <s v="USA"/>
    <x v="4"/>
    <x v="4"/>
    <x v="2"/>
    <n v="3"/>
    <n v="78"/>
    <n v="45"/>
    <n v="0.15"/>
    <s v="paypal"/>
    <s v="PayPal"/>
    <s v="Cancelled"/>
    <s v="Cancelled"/>
    <s v="Valid"/>
    <s v="mia.white@example.com"/>
    <n v="198.9"/>
    <n v="135"/>
    <x v="184"/>
    <n v="0.32126696832579188"/>
  </r>
  <r>
    <s v="ORD-10023"/>
    <x v="253"/>
    <s v="Lucas Jackson"/>
    <s v="Lucas Jackson"/>
    <s v="Germany"/>
    <x v="3"/>
    <x v="0"/>
    <x v="0"/>
    <n v="5"/>
    <n v="36"/>
    <n v="16"/>
    <n v="0.15"/>
    <s v="Debit Card"/>
    <s v="Debit Card"/>
    <s v="Completed"/>
    <s v="Completed"/>
    <s v="Valid"/>
    <s v="lucas.jackson@example.com"/>
    <n v="153"/>
    <n v="80"/>
    <x v="178"/>
    <n v="0.47712418300653597"/>
  </r>
  <r>
    <s v="ORD-10411"/>
    <x v="49"/>
    <s v="Liam Miller"/>
    <s v="Liam Miller"/>
    <s v=" germany "/>
    <x v="3"/>
    <x v="7"/>
    <x v="0"/>
    <n v="1"/>
    <n v="210"/>
    <n v="125"/>
    <n v="0.2"/>
    <s v="credit card"/>
    <s v="Credit Card"/>
    <s v="Completed"/>
    <s v="Completed"/>
    <s v="Valid"/>
    <s v="liam.miller@example.com"/>
    <n v="168"/>
    <n v="125"/>
    <x v="185"/>
    <n v="0.25595238095238093"/>
  </r>
  <r>
    <s v="ORD-10160"/>
    <x v="235"/>
    <s v="Henry Clark"/>
    <s v="Henry Clark"/>
    <m/>
    <x v="8"/>
    <x v="6"/>
    <x v="1"/>
    <n v="5"/>
    <n v="42"/>
    <n v="21"/>
    <n v="0"/>
    <s v="paypal"/>
    <s v="PayPal"/>
    <s v="Completed"/>
    <s v="Completed"/>
    <s v="Valid"/>
    <s v="henry.clark@example.com"/>
    <n v="210"/>
    <n v="105"/>
    <x v="61"/>
    <n v="0.5"/>
  </r>
  <r>
    <s v="ORD-10395"/>
    <x v="260"/>
    <s v="James Thompson"/>
    <s v="James Thompson"/>
    <s v="United Arab Emirates"/>
    <x v="0"/>
    <x v="6"/>
    <x v="1"/>
    <n v="5"/>
    <n v="42"/>
    <n v="21"/>
    <n v="0"/>
    <s v="Bank Transfer"/>
    <s v="Bank Transfer"/>
    <s v="Cancelled"/>
    <s v="Cancelled"/>
    <s v="Valid"/>
    <s v="james.thompson@example.com"/>
    <n v="210"/>
    <n v="105"/>
    <x v="61"/>
    <n v="0.5"/>
  </r>
  <r>
    <s v="ORD-10371"/>
    <x v="191"/>
    <s v="James Thompson"/>
    <s v="James Thompson"/>
    <s v=" united kingdom"/>
    <x v="2"/>
    <x v="9"/>
    <x v="1"/>
    <n v="3"/>
    <n v="65"/>
    <n v="31"/>
    <n v="0.05"/>
    <s v="Bank Transfer"/>
    <s v="Bank Transfer"/>
    <s v="Cancelled"/>
    <s v="Cancelled"/>
    <s v="Valid"/>
    <s v="james.thompson@example.com"/>
    <n v="185.25"/>
    <n v="93"/>
    <x v="131"/>
    <n v="0.49797570850202427"/>
  </r>
  <r>
    <s v="ORD-10026"/>
    <x v="213"/>
    <s v="Ava Thomas"/>
    <s v="Ava Thomas"/>
    <s v="USA"/>
    <x v="4"/>
    <x v="1"/>
    <x v="1"/>
    <n v="5"/>
    <n v="38"/>
    <n v="17"/>
    <n v="0"/>
    <s v="Debit Card"/>
    <s v="Debit Card"/>
    <s v="Completed"/>
    <s v="Completed"/>
    <s v="Valid"/>
    <s v="ava.thomas@example.com"/>
    <n v="190"/>
    <n v="85"/>
    <x v="61"/>
    <n v="0.55263157894736847"/>
  </r>
  <r>
    <s v="ORD-10184"/>
    <x v="99"/>
    <s v="James Thompson"/>
    <s v="James Thompson"/>
    <s v=" uae "/>
    <x v="0"/>
    <x v="11"/>
    <x v="3"/>
    <n v="1"/>
    <n v="175"/>
    <n v="105"/>
    <n v="0"/>
    <s v="paypal"/>
    <s v="PayPal"/>
    <s v="Pending"/>
    <s v="Pending"/>
    <s v="Valid"/>
    <s v="james.thompson@example.com"/>
    <n v="175"/>
    <n v="105"/>
    <x v="95"/>
    <n v="0.4"/>
  </r>
  <r>
    <s v="ORD-10241"/>
    <x v="113"/>
    <s v="Ella Martin"/>
    <s v="Ella Martin"/>
    <s v="DE"/>
    <x v="3"/>
    <x v="4"/>
    <x v="2"/>
    <n v="1"/>
    <n v="78"/>
    <n v="45"/>
    <n v="0.05"/>
    <s v="credit card"/>
    <s v="Credit Card"/>
    <s v="Completed"/>
    <s v="Completed"/>
    <s v="Valid"/>
    <s v="ella.martin@example.com"/>
    <n v="74.099999999999994"/>
    <n v="45"/>
    <x v="66"/>
    <n v="0.39271255060728738"/>
  </r>
  <r>
    <s v="ORD-10014"/>
    <x v="145"/>
    <s v="Ella Martin"/>
    <s v="Ella Martin"/>
    <s v=" germany "/>
    <x v="3"/>
    <x v="4"/>
    <x v="2"/>
    <n v="1"/>
    <n v="78"/>
    <n v="45"/>
    <n v="0"/>
    <s v="Bank Transfer"/>
    <s v="Bank Transfer"/>
    <s v="Pending"/>
    <s v="Pending"/>
    <s v="Valid"/>
    <s v="ella.martin@example.com"/>
    <n v="78"/>
    <n v="45"/>
    <x v="33"/>
    <n v="0.42307692307692307"/>
  </r>
  <r>
    <s v="ORD-10146"/>
    <x v="120"/>
    <s v="Noah Brown"/>
    <s v="Noah Brown"/>
    <s v="Singapore"/>
    <x v="5"/>
    <x v="9"/>
    <x v="1"/>
    <n v="4"/>
    <n v="65"/>
    <n v="31"/>
    <n v="0.1"/>
    <s v="credit card"/>
    <s v="Credit Card"/>
    <s v="Shipped"/>
    <s v="Shipped"/>
    <s v="Valid"/>
    <s v="noah.brown@example.com"/>
    <n v="234"/>
    <n v="124"/>
    <x v="64"/>
    <n v="0.47008547008547008"/>
  </r>
  <r>
    <s v="ORD-10487"/>
    <x v="4"/>
    <s v="Alex Morgan"/>
    <s v="Alex Morgan"/>
    <s v="Australia"/>
    <x v="1"/>
    <x v="8"/>
    <x v="3"/>
    <n v="3"/>
    <n v="59"/>
    <n v="30"/>
    <n v="0"/>
    <s v="paypal"/>
    <s v="PayPal"/>
    <s v="Completed"/>
    <s v="Completed"/>
    <s v="Valid"/>
    <s v="alex.morgan@example.com"/>
    <n v="177"/>
    <n v="90"/>
    <x v="78"/>
    <n v="0.49152542372881358"/>
  </r>
  <r>
    <s v="ORD-10454"/>
    <x v="179"/>
    <s v="Ethan Anderson"/>
    <s v="Ethan Anderson"/>
    <s v="India"/>
    <x v="7"/>
    <x v="5"/>
    <x v="3"/>
    <n v="3"/>
    <n v="85"/>
    <n v="44"/>
    <n v="0"/>
    <s v="Bank Transfer"/>
    <s v="Bank Transfer"/>
    <s v="Shipped"/>
    <s v="Shipped"/>
    <s v="Valid"/>
    <s v="ethan.anderson@example.com"/>
    <n v="255"/>
    <n v="132"/>
    <x v="12"/>
    <n v="0.4823529411764706"/>
  </r>
  <r>
    <s v="ORD-10417"/>
    <x v="215"/>
    <s v="Benjamin Walker"/>
    <s v="Benjamin Walker"/>
    <s v="India"/>
    <x v="7"/>
    <x v="10"/>
    <x v="3"/>
    <n v="3"/>
    <n v="245"/>
    <n v="150"/>
    <n v="0"/>
    <m/>
    <s v="Unknown"/>
    <s v="Completed"/>
    <s v="Completed"/>
    <s v="Valid"/>
    <s v="benjamin.walker@example.com"/>
    <n v="735"/>
    <n v="450"/>
    <x v="80"/>
    <n v="0.38775510204081631"/>
  </r>
  <r>
    <s v="ORD-10315"/>
    <x v="163"/>
    <s v="Henry Clark"/>
    <s v="Henry Clark"/>
    <s v="United Arab Emirates"/>
    <x v="0"/>
    <x v="5"/>
    <x v="3"/>
    <n v="2"/>
    <n v="85"/>
    <n v="44"/>
    <n v="0.05"/>
    <s v="credit card"/>
    <s v="Credit Card"/>
    <s v="Cancelled"/>
    <s v="Cancelled"/>
    <s v="Valid"/>
    <s v="henry.clark@example.com"/>
    <n v="161.5"/>
    <n v="88"/>
    <x v="150"/>
    <n v="0.45510835913312692"/>
  </r>
  <r>
    <s v="ORD-10362"/>
    <x v="197"/>
    <s v="James Thompson"/>
    <s v="James Thompson"/>
    <s v="U.A.E."/>
    <x v="0"/>
    <x v="10"/>
    <x v="3"/>
    <n v="4"/>
    <n v="245"/>
    <n v="150"/>
    <n v="0.1"/>
    <s v="credit card"/>
    <s v="Credit Card"/>
    <s v="Shipped"/>
    <s v="Shipped"/>
    <s v="Valid"/>
    <s v="james.thompson@example.com"/>
    <n v="882"/>
    <n v="600"/>
    <x v="57"/>
    <n v="0.31972789115646261"/>
  </r>
  <r>
    <s v="ORD-10079"/>
    <x v="107"/>
    <s v="Sophia Taylor"/>
    <s v="Sophia Taylor"/>
    <s v="DE"/>
    <x v="3"/>
    <x v="5"/>
    <x v="3"/>
    <n v="1"/>
    <n v="85"/>
    <n v="44"/>
    <n v="0"/>
    <s v="paypal"/>
    <s v="PayPal"/>
    <s v="Shipped"/>
    <s v="Shipped"/>
    <s v="Valid"/>
    <s v="sophia.taylor@example.com"/>
    <n v="85"/>
    <n v="44"/>
    <x v="135"/>
    <n v="0.4823529411764706"/>
  </r>
  <r>
    <s v="ORD-10321"/>
    <x v="32"/>
    <s v=" ella martin "/>
    <s v="Ella Martin"/>
    <s v=" united kingdom"/>
    <x v="2"/>
    <x v="9"/>
    <x v="1"/>
    <n v="4"/>
    <n v="65"/>
    <n v="31"/>
    <n v="0.05"/>
    <s v="credit card"/>
    <s v="Credit Card"/>
    <s v="Completed"/>
    <s v="Completed"/>
    <s v="Valid"/>
    <s v="ella.martin@example.com"/>
    <n v="247"/>
    <n v="124"/>
    <x v="12"/>
    <n v="0.49797570850202427"/>
  </r>
  <r>
    <s v="ORD-10496"/>
    <x v="261"/>
    <s v="Daniel Harris"/>
    <s v="Daniel Harris"/>
    <s v="USA"/>
    <x v="4"/>
    <x v="5"/>
    <x v="3"/>
    <n v="4"/>
    <n v="85"/>
    <n v="44"/>
    <n v="0.1"/>
    <s v="paypal"/>
    <s v="PayPal"/>
    <s v="Pending"/>
    <s v="Pending"/>
    <s v="Valid"/>
    <s v="daniel.harris@example.com"/>
    <n v="306"/>
    <n v="176"/>
    <x v="186"/>
    <n v="0.42483660130718953"/>
  </r>
  <r>
    <s v="ORD-10233"/>
    <x v="112"/>
    <s v="Lucas Jackson"/>
    <s v="Lucas Jackson"/>
    <s v="SG"/>
    <x v="5"/>
    <x v="5"/>
    <x v="3"/>
    <n v="4"/>
    <n v="85"/>
    <n v="44"/>
    <n v="0.05"/>
    <s v="Debit Card"/>
    <s v="Debit Card"/>
    <s v="Completed"/>
    <s v="Completed"/>
    <s v="Valid"/>
    <s v="lucas.jackson@example.com"/>
    <n v="323"/>
    <n v="176"/>
    <x v="24"/>
    <n v="0.45510835913312692"/>
  </r>
  <r>
    <s v="ORD-10465"/>
    <x v="262"/>
    <s v="Henry Clark"/>
    <s v="Henry Clark"/>
    <s v="UK"/>
    <x v="2"/>
    <x v="9"/>
    <x v="1"/>
    <n v="3"/>
    <n v="65"/>
    <n v="31"/>
    <n v="0.05"/>
    <s v="Debit Card"/>
    <s v="Debit Card"/>
    <s v="Pending"/>
    <s v="Pending"/>
    <s v="Valid"/>
    <s v="henry.clark@example.com"/>
    <n v="185.25"/>
    <n v="93"/>
    <x v="131"/>
    <n v="0.49797570850202427"/>
  </r>
  <r>
    <s v="ORD-10053"/>
    <x v="39"/>
    <s v="Mia White"/>
    <s v="Mia White"/>
    <s v="DE"/>
    <x v="3"/>
    <x v="6"/>
    <x v="1"/>
    <n v="4"/>
    <n v="42"/>
    <n v="21"/>
    <n v="0.05"/>
    <s v="Bank Transfer"/>
    <s v="Bank Transfer"/>
    <s v="Pending"/>
    <s v="Pending"/>
    <s v="Valid"/>
    <s v="mia.white@example.com"/>
    <n v="159.6"/>
    <n v="84"/>
    <x v="22"/>
    <n v="0.47368421052631576"/>
  </r>
  <r>
    <s v="ORD-10356"/>
    <x v="15"/>
    <s v="Lily Hall"/>
    <s v="Lily Hall"/>
    <s v="United Arab Emirates"/>
    <x v="0"/>
    <x v="11"/>
    <x v="3"/>
    <n v="3"/>
    <n v="175"/>
    <n v="105"/>
    <n v="0.1"/>
    <s v="paypal"/>
    <s v="PayPal"/>
    <s v="Completed"/>
    <s v="Completed"/>
    <s v="Valid"/>
    <s v="lily.hall@example.com"/>
    <n v="472.5"/>
    <n v="315"/>
    <x v="82"/>
    <n v="0.33333333333333331"/>
  </r>
  <r>
    <s v="ORD-10035"/>
    <x v="142"/>
    <s v="Ethan Anderson"/>
    <s v="Ethan Anderson"/>
    <s v=" australia"/>
    <x v="1"/>
    <x v="8"/>
    <x v="3"/>
    <n v="4"/>
    <n v="59"/>
    <n v="30"/>
    <n v="0.2"/>
    <s v="paypal"/>
    <s v="PayPal"/>
    <s v="Shipped"/>
    <s v="Shipped"/>
    <s v="Valid"/>
    <s v="ethan.anderson@example.com"/>
    <n v="188.8"/>
    <n v="120"/>
    <x v="187"/>
    <n v="0.36440677966101698"/>
  </r>
  <r>
    <s v="ORD-10335"/>
    <x v="93"/>
    <s v="Lily Hall"/>
    <s v="Lily Hall"/>
    <s v=" united kingdom"/>
    <x v="2"/>
    <x v="7"/>
    <x v="0"/>
    <n v="1"/>
    <n v="210"/>
    <n v="125"/>
    <n v="0.1"/>
    <s v="paypal"/>
    <s v="PayPal"/>
    <s v="Completed"/>
    <s v="Completed"/>
    <s v="Valid"/>
    <s v="lily.hall@example.com"/>
    <n v="189"/>
    <n v="125"/>
    <x v="114"/>
    <n v="0.33862433862433861"/>
  </r>
  <r>
    <s v="ORD-10549"/>
    <x v="33"/>
    <s v="Grace Moore"/>
    <s v="Grace Moore"/>
    <s v="Singapore"/>
    <x v="5"/>
    <x v="11"/>
    <x v="3"/>
    <n v="5"/>
    <n v="175"/>
    <n v="105"/>
    <n v="0.05"/>
    <s v="credit card"/>
    <s v="Credit Card"/>
    <s v="Completed"/>
    <s v="Completed"/>
    <s v="Valid"/>
    <s v="grace.moore@example.com"/>
    <n v="831.25"/>
    <n v="525"/>
    <x v="62"/>
    <n v="0.36842105263157893"/>
  </r>
  <r>
    <s v="ORD-10377"/>
    <x v="157"/>
    <s v="Liam Miller"/>
    <s v="Liam Miller"/>
    <s v=" singapore "/>
    <x v="5"/>
    <x v="3"/>
    <x v="2"/>
    <n v="1"/>
    <n v="92"/>
    <n v="53"/>
    <n v="0"/>
    <s v="Debit Card"/>
    <s v="Debit Card"/>
    <s v="Pending"/>
    <s v="Pending"/>
    <s v="Valid"/>
    <s v="liam.miller@example.com"/>
    <n v="92"/>
    <n v="53"/>
    <x v="3"/>
    <n v="0.42391304347826086"/>
  </r>
  <r>
    <s v="ORD-10185"/>
    <x v="172"/>
    <s v="Mia White"/>
    <s v="Mia White"/>
    <s v=" united kingdom"/>
    <x v="2"/>
    <x v="3"/>
    <x v="2"/>
    <n v="1"/>
    <n v="92"/>
    <n v="53"/>
    <n v="0.1"/>
    <s v="paypal"/>
    <s v="PayPal"/>
    <s v="Completed"/>
    <s v="Completed"/>
    <s v="Valid"/>
    <s v="mia.white@example.com"/>
    <n v="82.8"/>
    <n v="53"/>
    <x v="161"/>
    <n v="0.35990338164251207"/>
  </r>
  <r>
    <s v="ORD-10312"/>
    <x v="263"/>
    <s v="James Thompson"/>
    <s v="James Thompson"/>
    <s v="US"/>
    <x v="4"/>
    <x v="0"/>
    <x v="0"/>
    <n v="4"/>
    <n v="36"/>
    <n v="16"/>
    <n v="0.15"/>
    <s v="credit card"/>
    <s v="Credit Card"/>
    <s v="Completed"/>
    <s v="Completed"/>
    <s v="Valid"/>
    <s v="james.thompson@example.com"/>
    <n v="122.39999999999999"/>
    <n v="64"/>
    <x v="81"/>
    <n v="0.47712418300653592"/>
  </r>
  <r>
    <s v="ORD-10424"/>
    <x v="264"/>
    <s v="Lucas Jackson"/>
    <s v="Lucas Jackson"/>
    <s v="United Arab Emirates"/>
    <x v="0"/>
    <x v="8"/>
    <x v="3"/>
    <n v="4"/>
    <n v="59"/>
    <n v="30"/>
    <n v="0.1"/>
    <s v="Debit Card"/>
    <s v="Debit Card"/>
    <s v="Completed"/>
    <s v="Completed"/>
    <s v="Valid"/>
    <s v="lucas.jackson@example.com"/>
    <n v="212.4"/>
    <n v="120"/>
    <x v="58"/>
    <n v="0.43502824858757061"/>
  </r>
  <r>
    <s v="ORD-10519"/>
    <x v="147"/>
    <s v="Daniel Harris"/>
    <s v="Daniel Harris"/>
    <s v="Singapore"/>
    <x v="5"/>
    <x v="0"/>
    <x v="0"/>
    <n v="5"/>
    <n v="36"/>
    <n v="16"/>
    <n v="0"/>
    <s v="paypal"/>
    <s v="PayPal"/>
    <s v="Completed"/>
    <s v="Completed"/>
    <s v="Valid"/>
    <s v="daniel.harris@example.com"/>
    <n v="180"/>
    <n v="80"/>
    <x v="86"/>
    <n v="0.55555555555555558"/>
  </r>
  <r>
    <s v="ORD-10326"/>
    <x v="265"/>
    <s v="Grace Moore"/>
    <s v="Grace Moore"/>
    <s v=" uae "/>
    <x v="0"/>
    <x v="5"/>
    <x v="3"/>
    <n v="2"/>
    <n v="85"/>
    <n v="44"/>
    <n v="0.05"/>
    <s v="paypal"/>
    <s v="PayPal"/>
    <s v="Completed"/>
    <s v="Completed"/>
    <s v="Valid"/>
    <s v="grace.moore@example.com"/>
    <n v="161.5"/>
    <n v="88"/>
    <x v="150"/>
    <n v="0.45510835913312692"/>
  </r>
  <r>
    <s v="ORD-10188"/>
    <x v="257"/>
    <s v="Grace Moore"/>
    <s v="Grace Moore"/>
    <s v=" australia"/>
    <x v="1"/>
    <x v="6"/>
    <x v="1"/>
    <n v="3"/>
    <n v="42"/>
    <n v="21"/>
    <n v="0"/>
    <s v="paypal"/>
    <s v="PayPal"/>
    <s v="Completed"/>
    <s v="Completed"/>
    <s v="Valid"/>
    <s v="grace.moore@example.com"/>
    <n v="126"/>
    <n v="63"/>
    <x v="11"/>
    <n v="0.5"/>
  </r>
  <r>
    <s v="ORD-10430"/>
    <x v="266"/>
    <s v="Ava Thomas"/>
    <s v="Ava Thomas"/>
    <s v="USA"/>
    <x v="4"/>
    <x v="0"/>
    <x v="0"/>
    <n v="5"/>
    <n v="36"/>
    <n v="16"/>
    <n v="0"/>
    <s v="credit card"/>
    <s v="Credit Card"/>
    <s v="Shipped"/>
    <s v="Shipped"/>
    <s v="Valid"/>
    <s v="ava.thomas@example.com"/>
    <n v="180"/>
    <n v="80"/>
    <x v="86"/>
    <n v="0.55555555555555558"/>
  </r>
  <r>
    <s v="ORD-10285"/>
    <x v="78"/>
    <s v="Henry Clark"/>
    <s v="Henry Clark"/>
    <s v="Canada"/>
    <x v="6"/>
    <x v="4"/>
    <x v="2"/>
    <n v="2"/>
    <n v="78"/>
    <n v="45"/>
    <n v="0"/>
    <s v="credit card"/>
    <s v="Credit Card"/>
    <s v="Cancelled"/>
    <s v="Cancelled"/>
    <s v="Valid"/>
    <s v="henry.clark@example.com"/>
    <n v="156"/>
    <n v="90"/>
    <x v="158"/>
    <n v="0.42307692307692307"/>
  </r>
  <r>
    <s v="ORD-10392"/>
    <x v="267"/>
    <s v="Olivia Davis"/>
    <s v="Olivia Davis"/>
    <s v="USA"/>
    <x v="4"/>
    <x v="4"/>
    <x v="2"/>
    <n v="3"/>
    <n v="78"/>
    <n v="45"/>
    <n v="0.05"/>
    <s v="paypal"/>
    <s v="PayPal"/>
    <s v="Pending"/>
    <s v="Pending"/>
    <s v="Valid"/>
    <s v="olivia.davis@example.com"/>
    <n v="222.29999999999998"/>
    <n v="135"/>
    <x v="159"/>
    <n v="0.39271255060728738"/>
  </r>
  <r>
    <s v="ORD-10388"/>
    <x v="250"/>
    <s v="Noah Brown"/>
    <s v="Noah Brown"/>
    <s v=" united kingdom"/>
    <x v="2"/>
    <x v="7"/>
    <x v="0"/>
    <n v="5"/>
    <n v="210"/>
    <n v="125"/>
    <n v="0.05"/>
    <s v="paypal"/>
    <s v="PayPal"/>
    <s v="Completed"/>
    <s v="Completed"/>
    <s v="Valid"/>
    <s v="noah.brown@example.com"/>
    <n v="997.5"/>
    <n v="625"/>
    <x v="168"/>
    <n v="0.37343358395989973"/>
  </r>
  <r>
    <s v="ORD-10533"/>
    <x v="191"/>
    <s v="Chloe Lewis"/>
    <s v="Chloe Lewis"/>
    <s v=" germany "/>
    <x v="3"/>
    <x v="4"/>
    <x v="2"/>
    <n v="1"/>
    <n v="78"/>
    <n v="45"/>
    <n v="0.15"/>
    <s v="paypal"/>
    <s v="PayPal"/>
    <s v="Completed"/>
    <s v="Completed"/>
    <s v="Valid"/>
    <s v="chloe.lewis@example.com"/>
    <n v="66.3"/>
    <n v="45"/>
    <x v="188"/>
    <n v="0.32126696832579182"/>
  </r>
  <r>
    <s v="ORD-10166"/>
    <x v="268"/>
    <s v="Grace Moore"/>
    <s v="Grace Moore"/>
    <s v="Singapore"/>
    <x v="5"/>
    <x v="11"/>
    <x v="3"/>
    <n v="3"/>
    <n v="175"/>
    <n v="105"/>
    <n v="0.15"/>
    <s v="Debit Card"/>
    <s v="Debit Card"/>
    <s v="Completed"/>
    <s v="Completed"/>
    <s v="Valid"/>
    <s v="grace.moore@example.com"/>
    <n v="446.25"/>
    <n v="315"/>
    <x v="189"/>
    <n v="0.29411764705882354"/>
  </r>
  <r>
    <s v="ORD-10471"/>
    <x v="269"/>
    <s v="Mia White"/>
    <s v="Mia White"/>
    <s v=" germany "/>
    <x v="3"/>
    <x v="1"/>
    <x v="1"/>
    <n v="4"/>
    <n v="38"/>
    <n v="17"/>
    <n v="0"/>
    <s v="Bank Transfer"/>
    <s v="Bank Transfer"/>
    <s v="Shipped"/>
    <s v="Shipped"/>
    <s v="Valid"/>
    <s v="mia.white@example.com"/>
    <n v="152"/>
    <n v="68"/>
    <x v="1"/>
    <n v="0.55263157894736847"/>
  </r>
  <r>
    <s v="ORD-10299"/>
    <x v="184"/>
    <s v="Ava Thomas"/>
    <s v="Ava Thomas"/>
    <s v="AUS"/>
    <x v="1"/>
    <x v="2"/>
    <x v="1"/>
    <n v="3"/>
    <n v="18"/>
    <n v="7"/>
    <n v="0.05"/>
    <s v="paypal"/>
    <s v="PayPal"/>
    <s v="Pending"/>
    <s v="Pending"/>
    <s v="Valid"/>
    <s v="ava.thomas@example.com"/>
    <n v="51.3"/>
    <n v="21"/>
    <x v="190"/>
    <n v="0.59064327485380119"/>
  </r>
  <r>
    <s v="ORD-10024"/>
    <x v="109"/>
    <s v="Olivia Davis"/>
    <s v="Olivia Davis"/>
    <s v="Australia"/>
    <x v="1"/>
    <x v="10"/>
    <x v="3"/>
    <n v="3"/>
    <n v="245"/>
    <n v="150"/>
    <n v="0.15"/>
    <s v="Bank Transfer"/>
    <s v="Bank Transfer"/>
    <s v="Pending"/>
    <s v="Pending"/>
    <s v="Valid"/>
    <s v="olivia.davis@example.com"/>
    <n v="624.75"/>
    <n v="450"/>
    <x v="73"/>
    <n v="0.27971188475390157"/>
  </r>
  <r>
    <s v="ORD-10230"/>
    <x v="270"/>
    <s v="Grace Moore"/>
    <s v="Grace Moore"/>
    <s v="AUS"/>
    <x v="1"/>
    <x v="0"/>
    <x v="0"/>
    <n v="3"/>
    <n v="36"/>
    <n v="16"/>
    <n v="0.05"/>
    <s v="Debit Card"/>
    <s v="Debit Card"/>
    <s v="Cancelled"/>
    <s v="Cancelled"/>
    <s v="Valid"/>
    <s v="grace.moore@example.com"/>
    <n v="102.6"/>
    <n v="48"/>
    <x v="52"/>
    <n v="0.53216374269005851"/>
  </r>
  <r>
    <s v="ORD-10348"/>
    <x v="133"/>
    <s v="Benjamin Walker"/>
    <s v="Benjamin Walker"/>
    <s v="AUS"/>
    <x v="1"/>
    <x v="1"/>
    <x v="1"/>
    <n v="5"/>
    <n v="38"/>
    <n v="17"/>
    <n v="0.15"/>
    <s v="credit card"/>
    <s v="Credit Card"/>
    <s v="Cancelled"/>
    <s v="Cancelled"/>
    <s v="Valid"/>
    <s v="benjamin.walker@example.com"/>
    <n v="161.5"/>
    <n v="85"/>
    <x v="37"/>
    <n v="0.47368421052631576"/>
  </r>
  <r>
    <s v="ORD-10502"/>
    <x v="126"/>
    <s v="Olivia Davis"/>
    <s v="Olivia Davis"/>
    <s v="Germany"/>
    <x v="3"/>
    <x v="3"/>
    <x v="2"/>
    <n v="3"/>
    <n v="92"/>
    <n v="53"/>
    <n v="0"/>
    <s v="Bank Transfer"/>
    <s v="Bank Transfer"/>
    <s v="Completed"/>
    <s v="Completed"/>
    <s v="Valid"/>
    <s v="olivia.davis@example.com"/>
    <n v="276"/>
    <n v="159"/>
    <x v="85"/>
    <n v="0.42391304347826086"/>
  </r>
  <r>
    <s v="ORD-10183"/>
    <x v="271"/>
    <s v="James Thompson"/>
    <s v="James Thompson"/>
    <s v="SG"/>
    <x v="5"/>
    <x v="11"/>
    <x v="3"/>
    <n v="4"/>
    <n v="175"/>
    <n v="105"/>
    <n v="0"/>
    <s v="paypal"/>
    <s v="PayPal"/>
    <s v="Completed"/>
    <s v="Completed"/>
    <s v="Valid"/>
    <s v="james.thompson@example.com"/>
    <n v="700"/>
    <n v="420"/>
    <x v="133"/>
    <n v="0.4"/>
  </r>
  <r>
    <s v="ORD-10344"/>
    <x v="150"/>
    <s v=" chloe lewis "/>
    <s v="Chloe Lewis"/>
    <s v="DE"/>
    <x v="3"/>
    <x v="5"/>
    <x v="3"/>
    <n v="5"/>
    <n v="85"/>
    <n v="44"/>
    <n v="0"/>
    <s v="paypal"/>
    <s v="PayPal"/>
    <s v="Completed"/>
    <s v="Completed"/>
    <s v="Invalid"/>
    <s v="chloe.lewis@example"/>
    <n v="425"/>
    <n v="220"/>
    <x v="172"/>
    <n v="0.4823529411764706"/>
  </r>
  <r>
    <s v="ORD-10042"/>
    <x v="252"/>
    <s v="Ella Martin"/>
    <s v="Ella Martin"/>
    <s v="United States"/>
    <x v="4"/>
    <x v="9"/>
    <x v="1"/>
    <n v="4"/>
    <n v="65"/>
    <n v="31"/>
    <n v="0.05"/>
    <s v="credit card"/>
    <s v="Credit Card"/>
    <s v="Completed"/>
    <s v="Completed"/>
    <s v="Valid"/>
    <s v="ella.martin@example.com"/>
    <n v="247"/>
    <n v="124"/>
    <x v="12"/>
    <n v="0.49797570850202427"/>
  </r>
  <r>
    <s v="ORD-10357"/>
    <x v="272"/>
    <s v="Lucas Jackson"/>
    <s v="Lucas Jackson"/>
    <s v="U.K."/>
    <x v="2"/>
    <x v="2"/>
    <x v="1"/>
    <n v="2"/>
    <n v="18"/>
    <n v="7"/>
    <n v="0"/>
    <s v="Debit Card"/>
    <s v="Debit Card"/>
    <s v="Completed"/>
    <s v="Completed"/>
    <s v="Valid"/>
    <s v="lucas.jackson@example.com"/>
    <n v="36"/>
    <n v="14"/>
    <x v="65"/>
    <n v="0.61111111111111116"/>
  </r>
  <r>
    <s v="ORD-10237"/>
    <x v="273"/>
    <s v=" ella martin "/>
    <s v="Ella Martin"/>
    <s v="IN"/>
    <x v="7"/>
    <x v="1"/>
    <x v="1"/>
    <n v="1"/>
    <n v="38"/>
    <n v="17"/>
    <n v="0.2"/>
    <s v="Bank Transfer"/>
    <s v="Bank Transfer"/>
    <s v="Shipped"/>
    <s v="Shipped"/>
    <s v="Valid"/>
    <s v="ella.martin@example.com"/>
    <n v="30.400000000000002"/>
    <n v="17"/>
    <x v="191"/>
    <n v="0.44078947368421056"/>
  </r>
  <r>
    <s v="ORD-10268"/>
    <x v="15"/>
    <s v="Emma Wilson"/>
    <s v="Emma Wilson"/>
    <s v="UAE"/>
    <x v="0"/>
    <x v="6"/>
    <x v="1"/>
    <n v="4"/>
    <n v="42"/>
    <n v="21"/>
    <n v="0.2"/>
    <m/>
    <s v="Unknown"/>
    <s v="Completed"/>
    <s v="Completed"/>
    <s v="Valid"/>
    <s v="emma.wilson@example.com"/>
    <n v="134.4"/>
    <n v="84"/>
    <x v="107"/>
    <n v="0.375"/>
  </r>
  <r>
    <s v="ORD-10351"/>
    <x v="187"/>
    <s v="Noah Brown"/>
    <s v="Noah Brown"/>
    <s v=" india "/>
    <x v="7"/>
    <x v="5"/>
    <x v="3"/>
    <n v="5"/>
    <n v="85"/>
    <n v="44"/>
    <n v="0.2"/>
    <s v="Bank Transfer"/>
    <s v="Bank Transfer"/>
    <s v="Completed"/>
    <s v="Completed"/>
    <s v="Valid"/>
    <s v="noah.brown@example.com"/>
    <n v="340"/>
    <n v="220"/>
    <x v="29"/>
    <n v="0.35294117647058826"/>
  </r>
  <r>
    <s v="ORD-10076"/>
    <x v="137"/>
    <s v="Benjamin Walker"/>
    <s v="Benjamin Walker"/>
    <s v="Germany"/>
    <x v="3"/>
    <x v="11"/>
    <x v="3"/>
    <n v="4"/>
    <n v="175"/>
    <n v="105"/>
    <n v="0"/>
    <s v="credit card"/>
    <s v="Credit Card"/>
    <s v="Shipped"/>
    <s v="Shipped"/>
    <s v="Valid"/>
    <s v="benjamin.walker@example.com"/>
    <n v="700"/>
    <n v="420"/>
    <x v="133"/>
    <n v="0.4"/>
  </r>
  <r>
    <s v="ORD-10032"/>
    <x v="233"/>
    <s v="Noah Brown"/>
    <s v="Noah Brown"/>
    <s v="Germany"/>
    <x v="3"/>
    <x v="11"/>
    <x v="3"/>
    <n v="2"/>
    <n v="175"/>
    <n v="105"/>
    <n v="0.1"/>
    <s v="paypal"/>
    <s v="PayPal"/>
    <s v="Shipped"/>
    <s v="Shipped"/>
    <s v="Invalid"/>
    <s v="noah.brown@example"/>
    <n v="315"/>
    <n v="210"/>
    <x v="61"/>
    <n v="0.33333333333333331"/>
  </r>
  <r>
    <s v="ORD-10447"/>
    <x v="32"/>
    <s v=" henry clark "/>
    <s v="Henry Clark"/>
    <s v="CAN"/>
    <x v="6"/>
    <x v="5"/>
    <x v="3"/>
    <n v="5"/>
    <n v="85"/>
    <n v="44"/>
    <n v="0.1"/>
    <s v="credit card"/>
    <s v="Credit Card"/>
    <s v="Cancelled"/>
    <s v="Cancelled"/>
    <s v="Valid"/>
    <s v="henry.clark@example.com"/>
    <n v="382.5"/>
    <n v="220"/>
    <x v="151"/>
    <n v="0.42483660130718953"/>
  </r>
  <r>
    <s v="ORD-10448"/>
    <x v="267"/>
    <s v="James Thompson"/>
    <s v="James Thompson"/>
    <s v="CAN"/>
    <x v="6"/>
    <x v="5"/>
    <x v="3"/>
    <n v="5"/>
    <n v="85"/>
    <n v="44"/>
    <n v="0.05"/>
    <s v="Debit Card"/>
    <s v="Debit Card"/>
    <s v="Completed"/>
    <s v="Completed"/>
    <s v="Valid"/>
    <s v="james.thompson@example.com"/>
    <n v="403.75"/>
    <n v="220"/>
    <x v="93"/>
    <n v="0.45510835913312692"/>
  </r>
  <r>
    <s v="ORD-10350"/>
    <x v="13"/>
    <s v="Sophia Taylor"/>
    <s v="Sophia Taylor"/>
    <s v=" australia"/>
    <x v="1"/>
    <x v="11"/>
    <x v="3"/>
    <n v="3"/>
    <n v="175"/>
    <n v="105"/>
    <n v="0.05"/>
    <s v="credit card"/>
    <s v="Credit Card"/>
    <s v="Completed"/>
    <s v="Completed"/>
    <s v="Valid"/>
    <s v="sophia.taylor@example.com"/>
    <n v="498.75"/>
    <n v="315"/>
    <x v="93"/>
    <n v="0.36842105263157893"/>
  </r>
  <r>
    <s v="ORD-10046"/>
    <x v="7"/>
    <s v="Chloe Lewis"/>
    <s v="Chloe Lewis"/>
    <s v="US"/>
    <x v="4"/>
    <x v="8"/>
    <x v="3"/>
    <n v="3"/>
    <n v="59"/>
    <n v="30"/>
    <n v="0.2"/>
    <s v="credit card"/>
    <s v="Credit Card"/>
    <s v="Pending"/>
    <s v="Pending"/>
    <s v="Valid"/>
    <s v="chloe.lewis@example.com"/>
    <n v="141.6"/>
    <n v="90"/>
    <x v="192"/>
    <n v="0.36440677966101692"/>
  </r>
  <r>
    <s v="ORD-10418"/>
    <x v="220"/>
    <s v="Chloe Lewis"/>
    <s v="Chloe Lewis"/>
    <s v=" united kingdom"/>
    <x v="2"/>
    <x v="10"/>
    <x v="3"/>
    <n v="1"/>
    <n v="245"/>
    <n v="150"/>
    <n v="0"/>
    <s v="credit card"/>
    <s v="Credit Card"/>
    <s v="Cancelled"/>
    <s v="Cancelled"/>
    <s v="Valid"/>
    <s v="chloe.lewis@example.com"/>
    <n v="245"/>
    <n v="150"/>
    <x v="68"/>
    <n v="0.38775510204081631"/>
  </r>
  <r>
    <s v="ORD-10229"/>
    <x v="274"/>
    <s v=" olivia davis "/>
    <s v="Olivia Davis"/>
    <s v=" india "/>
    <x v="7"/>
    <x v="8"/>
    <x v="3"/>
    <n v="2"/>
    <n v="59"/>
    <n v="30"/>
    <n v="0.05"/>
    <s v="paypal"/>
    <s v="PayPal"/>
    <s v="Completed"/>
    <s v="Completed"/>
    <s v="Valid"/>
    <s v="olivia.davis@example.com"/>
    <n v="112.1"/>
    <n v="60"/>
    <x v="47"/>
    <n v="0.46476360392506688"/>
  </r>
  <r>
    <s v="ORD-10109"/>
    <x v="236"/>
    <s v="Lucas Jackson"/>
    <s v="Lucas Jackson"/>
    <s v="Germany"/>
    <x v="3"/>
    <x v="1"/>
    <x v="1"/>
    <n v="5"/>
    <n v="38"/>
    <n v="17"/>
    <n v="0.05"/>
    <s v="paypal"/>
    <s v="PayPal"/>
    <s v="Shipped"/>
    <s v="Shipped"/>
    <s v="Valid"/>
    <s v="lucas.jackson@example.com"/>
    <n v="180.5"/>
    <n v="85"/>
    <x v="171"/>
    <n v="0.52908587257617734"/>
  </r>
  <r>
    <s v="ORD-10106"/>
    <x v="122"/>
    <s v="Grace Moore"/>
    <s v="Grace Moore"/>
    <s v="UK"/>
    <x v="2"/>
    <x v="10"/>
    <x v="3"/>
    <n v="3"/>
    <n v="245"/>
    <n v="150"/>
    <n v="0"/>
    <s v="Debit Card"/>
    <s v="Debit Card"/>
    <s v="Completed"/>
    <s v="Completed"/>
    <s v="Valid"/>
    <s v="grace.moore@example.com"/>
    <n v="735"/>
    <n v="450"/>
    <x v="80"/>
    <n v="0.38775510204081631"/>
  </r>
  <r>
    <s v="ORD-10150"/>
    <x v="239"/>
    <s v="Olivia Davis"/>
    <s v="Olivia Davis"/>
    <s v="United Arab Emirates"/>
    <x v="0"/>
    <x v="3"/>
    <x v="2"/>
    <n v="1"/>
    <n v="92"/>
    <n v="53"/>
    <n v="0.05"/>
    <s v="paypal"/>
    <s v="PayPal"/>
    <s v="Pending"/>
    <s v="Pending"/>
    <s v="Valid"/>
    <s v="olivia.davis@example.com"/>
    <n v="87.399999999999991"/>
    <n v="53"/>
    <x v="4"/>
    <n v="0.39359267734553771"/>
  </r>
  <r>
    <s v="ORD-10030"/>
    <x v="215"/>
    <s v="Lily Hall"/>
    <s v="Lily Hall"/>
    <s v="IN"/>
    <x v="7"/>
    <x v="8"/>
    <x v="3"/>
    <n v="1"/>
    <n v="59"/>
    <n v="30"/>
    <n v="0"/>
    <s v="paypal"/>
    <s v="PayPal"/>
    <s v="Pending"/>
    <s v="Pending"/>
    <s v="Valid"/>
    <s v="lily.hall@example.com"/>
    <n v="59"/>
    <n v="30"/>
    <x v="42"/>
    <n v="0.49152542372881358"/>
  </r>
  <r>
    <s v="ORD-10182"/>
    <x v="222"/>
    <s v="Lily Hall"/>
    <s v="Lily Hall"/>
    <s v=" india "/>
    <x v="7"/>
    <x v="10"/>
    <x v="3"/>
    <n v="2"/>
    <n v="245"/>
    <n v="150"/>
    <n v="0.05"/>
    <s v="paypal"/>
    <s v="PayPal"/>
    <s v="Shipped"/>
    <s v="Shipped"/>
    <s v="Valid"/>
    <s v="lily.hall@example.com"/>
    <n v="465.5"/>
    <n v="300"/>
    <x v="177"/>
    <n v="0.35553168635875404"/>
  </r>
  <r>
    <s v="ORD-10110"/>
    <x v="275"/>
    <s v="Benjamin Walker"/>
    <s v="Benjamin Walker"/>
    <s v="UAE"/>
    <x v="0"/>
    <x v="4"/>
    <x v="2"/>
    <n v="3"/>
    <n v="78"/>
    <n v="45"/>
    <n v="0.15"/>
    <s v="credit card"/>
    <s v="Credit Card"/>
    <s v="Pending"/>
    <s v="Pending"/>
    <s v="Valid"/>
    <s v="benjamin.walker@example.com"/>
    <n v="198.9"/>
    <n v="135"/>
    <x v="184"/>
    <n v="0.32126696832579188"/>
  </r>
  <r>
    <s v="ORD-10420"/>
    <x v="85"/>
    <s v="Ethan Anderson"/>
    <s v="Ethan Anderson"/>
    <s v="Canada"/>
    <x v="6"/>
    <x v="3"/>
    <x v="2"/>
    <n v="2"/>
    <n v="92"/>
    <n v="53"/>
    <n v="0"/>
    <s v="credit card"/>
    <s v="Credit Card"/>
    <s v="Pending"/>
    <s v="Pending"/>
    <s v="Valid"/>
    <s v="ethan.anderson@example.com"/>
    <n v="184"/>
    <n v="106"/>
    <x v="100"/>
    <n v="0.42391304347826086"/>
  </r>
  <r>
    <s v="ORD-10123"/>
    <x v="276"/>
    <s v=" ethan anderson "/>
    <s v="Ethan Anderson"/>
    <s v="CAN"/>
    <x v="6"/>
    <x v="11"/>
    <x v="3"/>
    <n v="2"/>
    <n v="175"/>
    <n v="105"/>
    <n v="0.05"/>
    <s v="Debit Card"/>
    <s v="Debit Card"/>
    <s v="Completed"/>
    <s v="Completed"/>
    <s v="Valid"/>
    <s v="ethan.anderson@example.com"/>
    <n v="332.5"/>
    <n v="210"/>
    <x v="46"/>
    <n v="0.36842105263157893"/>
  </r>
  <r>
    <s v="ORD-10284"/>
    <x v="154"/>
    <s v="James Thompson"/>
    <s v="James Thompson"/>
    <s v=" india "/>
    <x v="7"/>
    <x v="10"/>
    <x v="3"/>
    <n v="3"/>
    <n v="245"/>
    <n v="150"/>
    <n v="0.05"/>
    <s v="paypal"/>
    <s v="PayPal"/>
    <s v="Pending"/>
    <s v="Pending"/>
    <s v="Valid"/>
    <s v="james.thompson@example.com"/>
    <n v="698.25"/>
    <n v="450"/>
    <x v="157"/>
    <n v="0.35553168635875404"/>
  </r>
  <r>
    <s v="ORD-10105"/>
    <x v="49"/>
    <s v="Ava Thomas"/>
    <s v="Ava Thomas"/>
    <s v=" canada "/>
    <x v="6"/>
    <x v="11"/>
    <x v="3"/>
    <n v="3"/>
    <n v="175"/>
    <n v="105"/>
    <n v="0.05"/>
    <s v="Bank Transfer"/>
    <s v="Bank Transfer"/>
    <s v="Cancelled"/>
    <s v="Cancelled"/>
    <s v="Valid"/>
    <s v="ava.thomas@example.com"/>
    <n v="498.75"/>
    <n v="315"/>
    <x v="93"/>
    <n v="0.36842105263157893"/>
  </r>
  <r>
    <s v="ORD-10061"/>
    <x v="201"/>
    <s v="Benjamin Walker"/>
    <s v="Benjamin Walker"/>
    <s v="Canada"/>
    <x v="6"/>
    <x v="2"/>
    <x v="1"/>
    <n v="5"/>
    <n v="18"/>
    <n v="7"/>
    <n v="0.1"/>
    <s v="Bank Transfer"/>
    <s v="Bank Transfer"/>
    <s v="Completed"/>
    <s v="Completed"/>
    <s v="Valid"/>
    <s v="benjamin.walker@example.com"/>
    <n v="81"/>
    <n v="35"/>
    <x v="70"/>
    <n v="0.5679012345679012"/>
  </r>
  <r>
    <s v="ORD-10147"/>
    <x v="62"/>
    <s v="Noah Brown"/>
    <s v="Noah Brown"/>
    <s v="Australia"/>
    <x v="1"/>
    <x v="7"/>
    <x v="0"/>
    <n v="3"/>
    <n v="210"/>
    <n v="125"/>
    <n v="0"/>
    <s v="paypal"/>
    <s v="PayPal"/>
    <s v="Shipped"/>
    <s v="Shipped"/>
    <s v="Valid"/>
    <s v="noah.brown@example.com"/>
    <n v="630"/>
    <n v="375"/>
    <x v="94"/>
    <n v="0.40476190476190477"/>
  </r>
  <r>
    <s v="ORD-10084"/>
    <x v="130"/>
    <s v="Ava Thomas"/>
    <s v="Ava Thomas"/>
    <s v="U.K."/>
    <x v="2"/>
    <x v="11"/>
    <x v="3"/>
    <n v="4"/>
    <n v="175"/>
    <n v="105"/>
    <n v="0"/>
    <s v="credit card"/>
    <s v="Credit Card"/>
    <s v="Cancelled"/>
    <s v="Cancelled"/>
    <s v="Valid"/>
    <s v="ava.thomas@example.com"/>
    <n v="700"/>
    <n v="420"/>
    <x v="133"/>
    <n v="0.4"/>
  </r>
  <r>
    <s v="ORD-10491"/>
    <x v="199"/>
    <s v="Daniel Harris"/>
    <s v="Daniel Harris"/>
    <s v="AUS"/>
    <x v="1"/>
    <x v="0"/>
    <x v="0"/>
    <n v="5"/>
    <n v="36"/>
    <n v="16"/>
    <n v="0.1"/>
    <s v="paypal"/>
    <s v="PayPal"/>
    <s v="Completed"/>
    <s v="Completed"/>
    <s v="Valid"/>
    <s v="daniel.harris@example.com"/>
    <n v="162"/>
    <n v="80"/>
    <x v="83"/>
    <n v="0.50617283950617287"/>
  </r>
  <r>
    <s v="ORD-10316"/>
    <x v="167"/>
    <s v="Noah Brown"/>
    <s v="Noah Brown"/>
    <s v=" united states "/>
    <x v="4"/>
    <x v="5"/>
    <x v="3"/>
    <n v="4"/>
    <n v="85"/>
    <n v="44"/>
    <n v="0.15"/>
    <s v="credit card"/>
    <s v="Credit Card"/>
    <s v="Pending"/>
    <s v="Pending"/>
    <s v="Valid"/>
    <s v="noah.brown@example.com"/>
    <n v="289"/>
    <n v="176"/>
    <x v="193"/>
    <n v="0.39100346020761245"/>
  </r>
  <r>
    <s v="ORD-10451"/>
    <x v="214"/>
    <s v="Noah Brown"/>
    <s v="Noah Brown"/>
    <s v=" canada "/>
    <x v="6"/>
    <x v="2"/>
    <x v="1"/>
    <n v="3"/>
    <n v="18"/>
    <n v="7"/>
    <n v="0"/>
    <s v="credit card"/>
    <s v="Credit Card"/>
    <s v="Cancelled"/>
    <s v="Cancelled"/>
    <s v="Valid"/>
    <s v="noah.brown@example.com"/>
    <n v="54"/>
    <n v="21"/>
    <x v="33"/>
    <n v="0.61111111111111116"/>
  </r>
  <r>
    <s v="ORD-10507"/>
    <x v="125"/>
    <s v="Henry Clark"/>
    <s v="Henry Clark"/>
    <s v=" australia"/>
    <x v="1"/>
    <x v="8"/>
    <x v="3"/>
    <n v="5"/>
    <n v="59"/>
    <n v="30"/>
    <n v="0"/>
    <s v="paypal"/>
    <s v="PayPal"/>
    <s v="Pending"/>
    <s v="Pending"/>
    <s v="Valid"/>
    <s v="henry.clark@example.com"/>
    <n v="295"/>
    <n v="150"/>
    <x v="134"/>
    <n v="0.49152542372881358"/>
  </r>
  <r>
    <s v="ORD-10382"/>
    <x v="112"/>
    <s v="Benjamin Walker"/>
    <s v="Benjamin Walker"/>
    <s v="DE"/>
    <x v="3"/>
    <x v="2"/>
    <x v="1"/>
    <n v="5"/>
    <n v="18"/>
    <n v="7"/>
    <n v="0"/>
    <s v="credit card"/>
    <s v="Credit Card"/>
    <s v="Completed"/>
    <s v="Completed"/>
    <s v="Valid"/>
    <s v="benjamin.walker@example.com"/>
    <n v="90"/>
    <n v="35"/>
    <x v="17"/>
    <n v="0.61111111111111116"/>
  </r>
  <r>
    <s v="ORD-10423"/>
    <x v="191"/>
    <s v="Noah Brown"/>
    <s v="Noah Brown"/>
    <s v=" india "/>
    <x v="7"/>
    <x v="5"/>
    <x v="3"/>
    <n v="1"/>
    <n v="85"/>
    <n v="44"/>
    <n v="0.1"/>
    <s v="Debit Card"/>
    <s v="Debit Card"/>
    <s v="Completed"/>
    <s v="Completed"/>
    <s v="Valid"/>
    <s v="noah.brown@example.com"/>
    <n v="76.5"/>
    <n v="44"/>
    <x v="111"/>
    <n v="0.42483660130718953"/>
  </r>
  <r>
    <s v="ORD-10497"/>
    <x v="277"/>
    <s v="Daniel Harris"/>
    <s v="Daniel Harris"/>
    <s v="Singapore"/>
    <x v="5"/>
    <x v="3"/>
    <x v="2"/>
    <n v="5"/>
    <n v="92"/>
    <n v="53"/>
    <n v="0"/>
    <s v="paypal"/>
    <s v="PayPal"/>
    <s v="Completed"/>
    <s v="Completed"/>
    <s v="Valid"/>
    <s v="daniel.harris@example.com"/>
    <n v="460"/>
    <n v="265"/>
    <x v="163"/>
    <n v="0.42391304347826086"/>
  </r>
  <r>
    <s v="ORD-10526"/>
    <x v="62"/>
    <s v="Lucas Jackson"/>
    <s v="Lucas Jackson"/>
    <s v="Germany"/>
    <x v="3"/>
    <x v="1"/>
    <x v="1"/>
    <n v="5"/>
    <n v="38"/>
    <n v="17"/>
    <n v="0"/>
    <s v="credit card"/>
    <s v="Credit Card"/>
    <s v="Completed"/>
    <s v="Completed"/>
    <s v="Valid"/>
    <s v="lucas.jackson@example.com"/>
    <n v="190"/>
    <n v="85"/>
    <x v="61"/>
    <n v="0.55263157894736847"/>
  </r>
  <r>
    <s v="ORD-10228"/>
    <x v="77"/>
    <s v="James Thompson"/>
    <s v="James Thompson"/>
    <s v=" uae "/>
    <x v="0"/>
    <x v="4"/>
    <x v="2"/>
    <n v="4"/>
    <n v="78"/>
    <n v="45"/>
    <n v="0"/>
    <s v="credit card"/>
    <s v="Credit Card"/>
    <s v="Shipped"/>
    <s v="Shipped"/>
    <s v="Valid"/>
    <s v="james.thompson@example.com"/>
    <n v="312"/>
    <n v="180"/>
    <x v="92"/>
    <n v="0.42307692307692307"/>
  </r>
  <r>
    <s v="ORD-10525"/>
    <x v="138"/>
    <s v="James Thompson"/>
    <s v="James Thompson"/>
    <s v=" canada "/>
    <x v="6"/>
    <x v="1"/>
    <x v="1"/>
    <n v="3"/>
    <n v="38"/>
    <n v="17"/>
    <n v="0.1"/>
    <s v="credit card"/>
    <s v="Credit Card"/>
    <s v="Completed"/>
    <s v="Completed"/>
    <s v="Valid"/>
    <s v="james.thompson@example.com"/>
    <n v="102.60000000000001"/>
    <n v="51"/>
    <x v="116"/>
    <n v="0.50292397660818722"/>
  </r>
  <r>
    <s v="ORD-10446"/>
    <x v="42"/>
    <s v="Alex Morgan"/>
    <s v="Alex Morgan"/>
    <s v="United Arab Emirates"/>
    <x v="0"/>
    <x v="11"/>
    <x v="3"/>
    <n v="5"/>
    <n v="175"/>
    <n v="105"/>
    <n v="0.05"/>
    <s v="credit card"/>
    <s v="Credit Card"/>
    <s v="Completed"/>
    <s v="Completed"/>
    <s v="Valid"/>
    <s v="alex.morgan@example.com"/>
    <n v="831.25"/>
    <n v="525"/>
    <x v="62"/>
    <n v="0.36842105263157893"/>
  </r>
  <r>
    <s v="ORD-10152"/>
    <x v="206"/>
    <s v="Alex Morgan"/>
    <s v="Alex Morgan"/>
    <s v="India"/>
    <x v="7"/>
    <x v="5"/>
    <x v="3"/>
    <n v="3"/>
    <n v="85"/>
    <n v="44"/>
    <n v="0.1"/>
    <s v="Bank Transfer"/>
    <s v="Bank Transfer"/>
    <s v="Pending"/>
    <s v="Pending"/>
    <s v="Valid"/>
    <s v="alex.morgan@example.com"/>
    <n v="229.5"/>
    <n v="132"/>
    <x v="194"/>
    <n v="0.42483660130718953"/>
  </r>
  <r>
    <s v="ORD-10001"/>
    <x v="180"/>
    <s v="Ava Thomas"/>
    <s v="Ava Thomas"/>
    <s v=" australia"/>
    <x v="1"/>
    <x v="11"/>
    <x v="3"/>
    <n v="5"/>
    <n v="175"/>
    <n v="105"/>
    <n v="0"/>
    <s v="Bank Transfer"/>
    <s v="Bank Transfer"/>
    <s v="Completed"/>
    <s v="Completed"/>
    <s v="Valid"/>
    <s v="ava.thomas@example.com"/>
    <n v="875"/>
    <n v="525"/>
    <x v="144"/>
    <n v="0.4"/>
  </r>
  <r>
    <s v="ORD-10540"/>
    <x v="278"/>
    <s v="James Thompson"/>
    <s v="James Thompson"/>
    <s v=" united kingdom"/>
    <x v="2"/>
    <x v="6"/>
    <x v="1"/>
    <n v="1"/>
    <n v="42"/>
    <n v="21"/>
    <n v="0"/>
    <s v="Debit Card"/>
    <s v="Debit Card"/>
    <s v="Completed"/>
    <s v="Completed"/>
    <s v="Valid"/>
    <s v="james.thompson@example.com"/>
    <n v="42"/>
    <n v="21"/>
    <x v="126"/>
    <n v="0.5"/>
  </r>
  <r>
    <s v="ORD-10458"/>
    <x v="95"/>
    <s v="Benjamin Walker"/>
    <s v="Benjamin Walker"/>
    <s v="IN"/>
    <x v="7"/>
    <x v="2"/>
    <x v="1"/>
    <n v="4"/>
    <n v="18"/>
    <n v="7"/>
    <n v="0"/>
    <s v="Bank Transfer"/>
    <s v="Bank Transfer"/>
    <s v="Pending"/>
    <s v="Pending"/>
    <s v="Valid"/>
    <s v="benjamin.walker@example.com"/>
    <n v="72"/>
    <n v="28"/>
    <x v="76"/>
    <n v="0.61111111111111116"/>
  </r>
  <r>
    <s v="ORD-10489"/>
    <x v="279"/>
    <s v="Alex Morgan"/>
    <s v="Alex Morgan"/>
    <s v=" uae "/>
    <x v="0"/>
    <x v="1"/>
    <x v="1"/>
    <n v="5"/>
    <n v="38"/>
    <n v="17"/>
    <n v="0.1"/>
    <s v="Bank Transfer"/>
    <s v="Bank Transfer"/>
    <s v="Cancelled"/>
    <s v="Cancelled"/>
    <s v="Valid"/>
    <s v="alex.morgan@example.com"/>
    <n v="171"/>
    <n v="85"/>
    <x v="27"/>
    <n v="0.50292397660818711"/>
  </r>
  <r>
    <s v="ORD-10089"/>
    <x v="117"/>
    <s v="Emma Wilson"/>
    <s v="Emma Wilson"/>
    <s v="US"/>
    <x v="4"/>
    <x v="2"/>
    <x v="1"/>
    <n v="1"/>
    <n v="18"/>
    <n v="7"/>
    <n v="0.15"/>
    <s v="Bank Transfer"/>
    <s v="Bank Transfer"/>
    <s v="Completed"/>
    <s v="Completed"/>
    <s v="Valid"/>
    <s v="emma.wilson@example.com"/>
    <n v="15.299999999999999"/>
    <n v="7"/>
    <x v="195"/>
    <n v="0.54248366013071891"/>
  </r>
  <r>
    <s v="ORD-10484"/>
    <x v="56"/>
    <s v="Henry Clark"/>
    <s v="Henry Clark"/>
    <s v="UAE"/>
    <x v="0"/>
    <x v="11"/>
    <x v="3"/>
    <n v="5"/>
    <n v="175"/>
    <n v="105"/>
    <n v="0"/>
    <s v="Debit Card"/>
    <s v="Debit Card"/>
    <s v="Pending"/>
    <s v="Pending"/>
    <s v="Valid"/>
    <s v="henry.clark@example.com"/>
    <n v="875"/>
    <n v="525"/>
    <x v="144"/>
    <n v="0.4"/>
  </r>
  <r>
    <s v="ORD-10461"/>
    <x v="173"/>
    <s v="Mia White"/>
    <s v="Mia White"/>
    <s v=" india "/>
    <x v="7"/>
    <x v="10"/>
    <x v="3"/>
    <n v="1"/>
    <n v="245"/>
    <n v="150"/>
    <n v="0.1"/>
    <s v="credit card"/>
    <s v="Credit Card"/>
    <s v="Pending"/>
    <s v="Pending"/>
    <s v="Valid"/>
    <s v="mia.white@example.com"/>
    <n v="220.5"/>
    <n v="150"/>
    <x v="60"/>
    <n v="0.31972789115646261"/>
  </r>
  <r>
    <s v="ORD-10078"/>
    <x v="84"/>
    <s v="Liam Miller"/>
    <s v="Liam Miller"/>
    <s v="Australia"/>
    <x v="1"/>
    <x v="2"/>
    <x v="1"/>
    <n v="3"/>
    <n v="18"/>
    <n v="7"/>
    <n v="0"/>
    <s v="Bank Transfer"/>
    <s v="Bank Transfer"/>
    <s v="Completed"/>
    <s v="Completed"/>
    <s v="Valid"/>
    <s v="liam.miller@example.com"/>
    <n v="54"/>
    <n v="21"/>
    <x v="33"/>
    <n v="0.61111111111111116"/>
  </r>
  <r>
    <s v="ORD-10269"/>
    <x v="170"/>
    <s v="Ava Thomas"/>
    <s v="Ava Thomas"/>
    <s v="United States"/>
    <x v="4"/>
    <x v="9"/>
    <x v="1"/>
    <n v="5"/>
    <n v="65"/>
    <n v="31"/>
    <n v="0.05"/>
    <s v="credit card"/>
    <s v="Credit Card"/>
    <s v="Completed"/>
    <s v="Completed"/>
    <s v="Valid"/>
    <s v="ava.thomas@example.com"/>
    <n v="308.75"/>
    <n v="155"/>
    <x v="196"/>
    <n v="0.49797570850202427"/>
  </r>
  <r>
    <s v="ORD-10124"/>
    <x v="91"/>
    <s v="Ella Martin"/>
    <s v="Ella Martin"/>
    <s v="DE"/>
    <x v="3"/>
    <x v="6"/>
    <x v="1"/>
    <n v="3"/>
    <n v="42"/>
    <n v="21"/>
    <n v="0"/>
    <s v="paypal"/>
    <s v="PayPal"/>
    <s v="Cancelled"/>
    <s v="Cancelled"/>
    <s v="Valid"/>
    <s v="ella.martin@example.com"/>
    <n v="126"/>
    <n v="63"/>
    <x v="11"/>
    <n v="0.5"/>
  </r>
  <r>
    <s v="ORD-10298"/>
    <x v="280"/>
    <s v="Liam Miller"/>
    <s v="Liam Miller"/>
    <s v="Canada"/>
    <x v="6"/>
    <x v="11"/>
    <x v="3"/>
    <n v="1"/>
    <n v="175"/>
    <n v="105"/>
    <n v="0"/>
    <s v="credit card"/>
    <s v="Credit Card"/>
    <s v="Cancelled"/>
    <s v="Cancelled"/>
    <s v="Valid"/>
    <s v="liam.miller@example.com"/>
    <n v="175"/>
    <n v="105"/>
    <x v="95"/>
    <n v="0.4"/>
  </r>
  <r>
    <s v="ORD-10096"/>
    <x v="206"/>
    <s v="Ava Thomas"/>
    <s v="Ava Thomas"/>
    <s v="USA"/>
    <x v="4"/>
    <x v="4"/>
    <x v="2"/>
    <n v="3"/>
    <n v="78"/>
    <n v="45"/>
    <n v="0.1"/>
    <s v="paypal"/>
    <s v="PayPal"/>
    <s v="Completed"/>
    <s v="Completed"/>
    <s v="Valid"/>
    <s v="ava.thomas@example.com"/>
    <n v="210.6"/>
    <n v="135"/>
    <x v="22"/>
    <n v="0.35897435897435898"/>
  </r>
  <r>
    <s v="ORD-10012"/>
    <x v="281"/>
    <s v="Mia White"/>
    <s v="Mia White"/>
    <s v="CAN"/>
    <x v="6"/>
    <x v="11"/>
    <x v="3"/>
    <n v="1"/>
    <n v="175"/>
    <n v="105"/>
    <n v="0.1"/>
    <s v="Debit Card"/>
    <s v="Debit Card"/>
    <s v="Completed"/>
    <s v="Completed"/>
    <s v="Valid"/>
    <s v="mia.white@example.com"/>
    <n v="157.5"/>
    <n v="105"/>
    <x v="130"/>
    <n v="0.33333333333333331"/>
  </r>
  <r>
    <s v="ORD-10115"/>
    <x v="123"/>
    <s v="Daniel Harris"/>
    <s v="Daniel Harris"/>
    <s v=" germany "/>
    <x v="3"/>
    <x v="4"/>
    <x v="2"/>
    <n v="5"/>
    <n v="78"/>
    <n v="45"/>
    <n v="0.15"/>
    <s v="Bank Transfer"/>
    <s v="Bank Transfer"/>
    <s v="Completed"/>
    <s v="Completed"/>
    <s v="Valid"/>
    <s v="daniel.harris@example.com"/>
    <n v="331.5"/>
    <n v="225"/>
    <x v="136"/>
    <n v="0.32126696832579188"/>
  </r>
  <r>
    <s v="ORD-10429"/>
    <x v="186"/>
    <s v="Lucas Jackson"/>
    <s v="Lucas Jackson"/>
    <s v="Singapore"/>
    <x v="5"/>
    <x v="8"/>
    <x v="3"/>
    <n v="4"/>
    <n v="59"/>
    <n v="30"/>
    <n v="0"/>
    <s v="Bank Transfer"/>
    <s v="Bank Transfer"/>
    <s v="Shipped"/>
    <s v="Shipped"/>
    <s v="Valid"/>
    <s v="lucas.jackson@example.com"/>
    <n v="236"/>
    <n v="120"/>
    <x v="103"/>
    <n v="0.49152542372881358"/>
  </r>
  <r>
    <s v="ORD-10258"/>
    <x v="39"/>
    <s v="Grace Moore"/>
    <s v="Grace Moore"/>
    <s v=" singapore "/>
    <x v="5"/>
    <x v="5"/>
    <x v="3"/>
    <n v="5"/>
    <n v="85"/>
    <n v="44"/>
    <n v="0"/>
    <s v="Bank Transfer"/>
    <s v="Bank Transfer"/>
    <s v="Completed"/>
    <s v="Completed"/>
    <s v="Valid"/>
    <s v="grace.moore@example.com"/>
    <n v="425"/>
    <n v="220"/>
    <x v="172"/>
    <n v="0.4823529411764706"/>
  </r>
  <r>
    <s v="ORD-10353"/>
    <x v="137"/>
    <s v="Alex Morgan"/>
    <s v="Alex Morgan"/>
    <s v=" united kingdom"/>
    <x v="2"/>
    <x v="6"/>
    <x v="1"/>
    <n v="4"/>
    <n v="42"/>
    <n v="21"/>
    <n v="0.1"/>
    <s v="Bank Transfer"/>
    <s v="Bank Transfer"/>
    <s v="Cancelled"/>
    <s v="Cancelled"/>
    <s v="Valid"/>
    <s v="alex.morgan@example.com"/>
    <n v="151.20000000000002"/>
    <n v="84"/>
    <x v="71"/>
    <n v="0.44444444444444453"/>
  </r>
  <r>
    <s v="ORD-10170"/>
    <x v="108"/>
    <s v="Emma Wilson"/>
    <s v="Emma Wilson"/>
    <s v="IN"/>
    <x v="7"/>
    <x v="9"/>
    <x v="1"/>
    <n v="3"/>
    <n v="65"/>
    <n v="31"/>
    <n v="0"/>
    <s v="Bank Transfer"/>
    <s v="Bank Transfer"/>
    <s v="Completed"/>
    <s v="Completed"/>
    <s v="Valid"/>
    <s v="emma.wilson@example.com"/>
    <n v="195"/>
    <n v="93"/>
    <x v="97"/>
    <n v="0.52307692307692311"/>
  </r>
  <r>
    <s v="ORD-10240"/>
    <x v="173"/>
    <s v="Grace Moore"/>
    <s v="Grace Moore"/>
    <s v=" germany "/>
    <x v="3"/>
    <x v="11"/>
    <x v="3"/>
    <n v="2"/>
    <n v="175"/>
    <n v="105"/>
    <n v="0.1"/>
    <s v="paypal"/>
    <s v="PayPal"/>
    <s v="Cancelled"/>
    <s v="Cancelled"/>
    <s v="Valid"/>
    <s v="grace.moore@example.com"/>
    <n v="315"/>
    <n v="210"/>
    <x v="61"/>
    <n v="0.33333333333333331"/>
  </r>
  <r>
    <s v="ORD-10278"/>
    <x v="65"/>
    <s v="Ava Thomas"/>
    <s v="Ava Thomas"/>
    <s v="Germany"/>
    <x v="3"/>
    <x v="9"/>
    <x v="1"/>
    <n v="3"/>
    <n v="65"/>
    <n v="31"/>
    <n v="0.05"/>
    <s v="Bank Transfer"/>
    <s v="Bank Transfer"/>
    <s v="Completed"/>
    <s v="Completed"/>
    <s v="Valid"/>
    <s v="ava.thomas@example.com"/>
    <n v="185.25"/>
    <n v="93"/>
    <x v="131"/>
    <n v="0.49797570850202427"/>
  </r>
  <r>
    <s v="ORD-10161"/>
    <x v="270"/>
    <s v="Ella Martin"/>
    <s v="Ella Martin"/>
    <s v="Australia"/>
    <x v="1"/>
    <x v="10"/>
    <x v="3"/>
    <n v="5"/>
    <n v="245"/>
    <n v="150"/>
    <n v="0"/>
    <s v="credit card"/>
    <s v="Credit Card"/>
    <s v="Completed"/>
    <s v="Completed"/>
    <s v="Valid"/>
    <s v="ella.martin@example.com"/>
    <n v="1225"/>
    <n v="750"/>
    <x v="197"/>
    <n v="0.38775510204081631"/>
  </r>
  <r>
    <s v="ORD-10074"/>
    <x v="142"/>
    <s v="Grace Moore"/>
    <s v="Grace Moore"/>
    <s v="U.A.E."/>
    <x v="0"/>
    <x v="10"/>
    <x v="3"/>
    <n v="2"/>
    <n v="245"/>
    <n v="150"/>
    <n v="0.1"/>
    <s v="paypal"/>
    <s v="PayPal"/>
    <s v="Completed"/>
    <s v="Completed"/>
    <s v="Valid"/>
    <s v="grace.moore@example.com"/>
    <n v="441"/>
    <n v="300"/>
    <x v="35"/>
    <n v="0.31972789115646261"/>
  </r>
  <r>
    <s v="ORD-10530"/>
    <x v="39"/>
    <s v="Lucas Jackson"/>
    <s v="Lucas Jackson"/>
    <s v="DE"/>
    <x v="3"/>
    <x v="5"/>
    <x v="3"/>
    <n v="2"/>
    <n v="85"/>
    <n v="44"/>
    <n v="0"/>
    <s v="paypal"/>
    <s v="PayPal"/>
    <s v="Completed"/>
    <s v="Completed"/>
    <s v="Valid"/>
    <s v="lucas.jackson@example.com"/>
    <n v="170"/>
    <n v="88"/>
    <x v="83"/>
    <n v="0.4823529411764706"/>
  </r>
  <r>
    <s v="ORD-10063"/>
    <x v="12"/>
    <s v="Grace Moore"/>
    <s v="Grace Moore"/>
    <s v="United States"/>
    <x v="4"/>
    <x v="6"/>
    <x v="1"/>
    <n v="5"/>
    <n v="42"/>
    <n v="21"/>
    <n v="0.05"/>
    <s v="Debit Card"/>
    <s v="Debit Card"/>
    <s v="Cancelled"/>
    <s v="Cancelled"/>
    <s v="Valid"/>
    <s v="grace.moore@example.com"/>
    <n v="199.5"/>
    <n v="105"/>
    <x v="109"/>
    <n v="0.47368421052631576"/>
  </r>
  <r>
    <s v="ORD-10493"/>
    <x v="256"/>
    <s v="Sophia Taylor"/>
    <s v="Sophia Taylor"/>
    <s v="U.A.E."/>
    <x v="0"/>
    <x v="7"/>
    <x v="0"/>
    <n v="2"/>
    <n v="210"/>
    <n v="125"/>
    <n v="0.05"/>
    <s v="paypal"/>
    <s v="PayPal"/>
    <s v="Completed"/>
    <s v="Completed"/>
    <s v="Valid"/>
    <s v="sophia.taylor@example.com"/>
    <n v="399"/>
    <n v="250"/>
    <x v="54"/>
    <n v="0.37343358395989973"/>
  </r>
  <r>
    <s v="ORD-10048"/>
    <x v="104"/>
    <s v="Ella Martin"/>
    <s v="Ella Martin"/>
    <s v=" australia"/>
    <x v="1"/>
    <x v="2"/>
    <x v="1"/>
    <n v="4"/>
    <n v="18"/>
    <n v="7"/>
    <n v="0.2"/>
    <s v="Debit Card"/>
    <s v="Debit Card"/>
    <s v="Pending"/>
    <s v="Pending"/>
    <s v="Valid"/>
    <s v="ella.martin@example.com"/>
    <n v="57.6"/>
    <n v="28"/>
    <x v="198"/>
    <n v="0.51388888888888895"/>
  </r>
  <r>
    <s v="ORD-10547"/>
    <x v="266"/>
    <s v="Ava Thomas"/>
    <s v="Ava Thomas"/>
    <s v="Canada"/>
    <x v="6"/>
    <x v="5"/>
    <x v="3"/>
    <n v="2"/>
    <n v="85"/>
    <n v="44"/>
    <n v="0.1"/>
    <s v="credit card"/>
    <s v="Credit Card"/>
    <s v="Cancelled"/>
    <s v="Cancelled"/>
    <s v="Valid"/>
    <s v="ava.thomas@example.com"/>
    <n v="153"/>
    <n v="88"/>
    <x v="88"/>
    <n v="0.42483660130718953"/>
  </r>
  <r>
    <s v="ORD-10506"/>
    <x v="282"/>
    <s v="Mia White"/>
    <s v="Mia White"/>
    <s v="United Arab Emirates"/>
    <x v="0"/>
    <x v="8"/>
    <x v="3"/>
    <n v="1"/>
    <n v="59"/>
    <n v="30"/>
    <n v="0.15"/>
    <s v="Bank Transfer"/>
    <s v="Bank Transfer"/>
    <s v="Pending"/>
    <s v="Pending"/>
    <s v="Valid"/>
    <s v="mia.white@example.com"/>
    <n v="50.15"/>
    <n v="30"/>
    <x v="199"/>
    <n v="0.40179461615154533"/>
  </r>
  <r>
    <s v="ORD-10021"/>
    <x v="213"/>
    <s v="Ethan Anderson"/>
    <s v="Ethan Anderson"/>
    <s v="Canada"/>
    <x v="6"/>
    <x v="4"/>
    <x v="2"/>
    <n v="3"/>
    <n v="78"/>
    <n v="45"/>
    <n v="0"/>
    <s v="credit card"/>
    <s v="Credit Card"/>
    <s v="Completed"/>
    <s v="Completed"/>
    <s v="Valid"/>
    <s v="ethan.anderson@example.com"/>
    <n v="234"/>
    <n v="135"/>
    <x v="160"/>
    <n v="0.42307692307692307"/>
  </r>
  <r>
    <s v="ORD-10425"/>
    <x v="283"/>
    <s v=" lily hall "/>
    <s v="Lily Hall"/>
    <s v="Germany"/>
    <x v="3"/>
    <x v="1"/>
    <x v="1"/>
    <n v="5"/>
    <n v="38"/>
    <n v="17"/>
    <n v="0.15"/>
    <s v="paypal"/>
    <s v="PayPal"/>
    <s v="Completed"/>
    <s v="Completed"/>
    <s v="Valid"/>
    <s v="lily.hall@example.com"/>
    <n v="161.5"/>
    <n v="85"/>
    <x v="37"/>
    <n v="0.47368421052631576"/>
  </r>
  <r>
    <s v="ORD-10193"/>
    <x v="80"/>
    <s v="Ella Martin"/>
    <s v="Ella Martin"/>
    <s v="United Arab Emirates"/>
    <x v="0"/>
    <x v="11"/>
    <x v="3"/>
    <n v="4"/>
    <n v="175"/>
    <n v="105"/>
    <n v="0"/>
    <s v="credit card"/>
    <s v="Credit Card"/>
    <s v="Cancelled"/>
    <s v="Cancelled"/>
    <s v="Valid"/>
    <s v="ella.martin@example.com"/>
    <n v="700"/>
    <n v="420"/>
    <x v="133"/>
    <n v="0.4"/>
  </r>
  <r>
    <s v="ORD-10216"/>
    <x v="160"/>
    <s v="Ava Thomas"/>
    <s v="Ava Thomas"/>
    <s v="SG"/>
    <x v="5"/>
    <x v="5"/>
    <x v="3"/>
    <n v="4"/>
    <n v="85"/>
    <n v="44"/>
    <n v="0.15"/>
    <s v="paypal"/>
    <s v="PayPal"/>
    <s v="Completed"/>
    <s v="Completed"/>
    <s v="Invalid"/>
    <s v="ava.thomas@example"/>
    <n v="289"/>
    <n v="176"/>
    <x v="193"/>
    <n v="0.39100346020761245"/>
  </r>
  <r>
    <s v="ORD-10245"/>
    <x v="95"/>
    <s v="Olivia Davis"/>
    <s v="Olivia Davis"/>
    <s v="IN"/>
    <x v="7"/>
    <x v="2"/>
    <x v="1"/>
    <n v="5"/>
    <n v="18"/>
    <n v="7"/>
    <n v="0"/>
    <m/>
    <s v="Unknown"/>
    <s v="Cancelled"/>
    <s v="Cancelled"/>
    <s v="Valid"/>
    <s v="olivia.davis@example.com"/>
    <n v="90"/>
    <n v="35"/>
    <x v="17"/>
    <n v="0.61111111111111116"/>
  </r>
  <r>
    <s v="ORD-10364"/>
    <x v="268"/>
    <s v="Henry Clark"/>
    <s v="Henry Clark"/>
    <s v="U.A.E."/>
    <x v="0"/>
    <x v="7"/>
    <x v="0"/>
    <n v="2"/>
    <n v="210"/>
    <n v="125"/>
    <n v="0"/>
    <s v="credit card"/>
    <s v="Credit Card"/>
    <s v="Completed"/>
    <s v="Completed"/>
    <s v="Valid"/>
    <s v="henry.clark@example.com"/>
    <n v="420"/>
    <n v="250"/>
    <x v="67"/>
    <n v="0.40476190476190477"/>
  </r>
  <r>
    <s v="ORD-10060"/>
    <x v="284"/>
    <s v="Lily Hall"/>
    <s v="Lily Hall"/>
    <s v=" singapore "/>
    <x v="5"/>
    <x v="8"/>
    <x v="3"/>
    <n v="1"/>
    <n v="59"/>
    <n v="30"/>
    <n v="0.05"/>
    <s v="paypal"/>
    <s v="PayPal"/>
    <s v="Completed"/>
    <s v="Completed"/>
    <s v="Missing"/>
    <m/>
    <n v="56.05"/>
    <n v="30"/>
    <x v="132"/>
    <n v="0.46476360392506688"/>
  </r>
  <r>
    <s v="ORD-10177"/>
    <x v="285"/>
    <s v="Alex Morgan"/>
    <s v="Alex Morgan"/>
    <s v=" singapore "/>
    <x v="5"/>
    <x v="11"/>
    <x v="3"/>
    <n v="5"/>
    <n v="175"/>
    <n v="105"/>
    <n v="0.05"/>
    <s v="paypal"/>
    <s v="PayPal"/>
    <s v="Shipped"/>
    <s v="Shipped"/>
    <s v="Valid"/>
    <s v="alex.morgan@example.com"/>
    <n v="831.25"/>
    <n v="525"/>
    <x v="62"/>
    <n v="0.36842105263157893"/>
  </r>
  <r>
    <s v="ORD-10450"/>
    <x v="214"/>
    <s v=" grace moore "/>
    <s v="Grace Moore"/>
    <s v=" australia"/>
    <x v="1"/>
    <x v="9"/>
    <x v="1"/>
    <n v="1"/>
    <n v="65"/>
    <n v="31"/>
    <n v="0.15"/>
    <s v="Bank Transfer"/>
    <s v="Bank Transfer"/>
    <s v="Completed"/>
    <s v="Completed"/>
    <s v="Valid"/>
    <s v="grace.moore@example.com"/>
    <n v="55.25"/>
    <n v="31"/>
    <x v="113"/>
    <n v="0.43891402714932126"/>
  </r>
  <r>
    <s v="ORD-10056"/>
    <x v="253"/>
    <s v="Liam Miller"/>
    <s v="Liam Miller"/>
    <s v="India"/>
    <x v="7"/>
    <x v="8"/>
    <x v="3"/>
    <n v="5"/>
    <n v="59"/>
    <n v="30"/>
    <n v="0.2"/>
    <s v="credit card"/>
    <s v="Credit Card"/>
    <s v="Shipped"/>
    <s v="Shipped"/>
    <s v="Valid"/>
    <s v="liam.miller@example.com"/>
    <n v="236"/>
    <n v="150"/>
    <x v="27"/>
    <n v="0.36440677966101692"/>
  </r>
  <r>
    <s v="ORD-10255"/>
    <x v="225"/>
    <s v="Noah Brown"/>
    <s v="Noah Brown"/>
    <s v="India"/>
    <x v="7"/>
    <x v="0"/>
    <x v="0"/>
    <n v="2"/>
    <n v="36"/>
    <n v="16"/>
    <n v="0"/>
    <s v="paypal"/>
    <s v="PayPal"/>
    <s v="Completed"/>
    <s v="Completed"/>
    <s v="Valid"/>
    <s v="noah.brown@example.com"/>
    <n v="72"/>
    <n v="32"/>
    <x v="140"/>
    <n v="0.55555555555555558"/>
  </r>
  <r>
    <s v="ORD-10386"/>
    <x v="134"/>
    <s v=" ava thomas "/>
    <s v="Ava Thomas"/>
    <s v=" canada "/>
    <x v="6"/>
    <x v="6"/>
    <x v="1"/>
    <n v="5"/>
    <n v="42"/>
    <n v="21"/>
    <n v="0.05"/>
    <s v="paypal"/>
    <s v="PayPal"/>
    <s v="Completed"/>
    <s v="Completed"/>
    <s v="Valid"/>
    <s v="ava.thomas@example.com"/>
    <n v="199.5"/>
    <n v="105"/>
    <x v="109"/>
    <n v="0.47368421052631576"/>
  </r>
  <r>
    <s v="ORD-10198"/>
    <x v="174"/>
    <s v="Henry Clark"/>
    <s v="Henry Clark"/>
    <s v="United Kingdom"/>
    <x v="2"/>
    <x v="1"/>
    <x v="1"/>
    <n v="3"/>
    <n v="38"/>
    <n v="17"/>
    <n v="0.1"/>
    <s v="paypal"/>
    <s v="PayPal"/>
    <s v="Shipped"/>
    <s v="Shipped"/>
    <s v="Valid"/>
    <s v="henry.clark@example.com"/>
    <n v="102.60000000000001"/>
    <n v="51"/>
    <x v="116"/>
    <n v="0.50292397660818722"/>
  </r>
  <r>
    <s v="ORD-10069"/>
    <x v="167"/>
    <s v="Daniel Harris"/>
    <s v="Daniel Harris"/>
    <s v=" uae "/>
    <x v="0"/>
    <x v="9"/>
    <x v="1"/>
    <n v="5"/>
    <n v="65"/>
    <n v="31"/>
    <n v="0"/>
    <s v="Bank Transfer"/>
    <s v="Bank Transfer"/>
    <s v="Completed"/>
    <s v="Completed"/>
    <s v="Valid"/>
    <s v="daniel.harris@example.com"/>
    <n v="325"/>
    <n v="155"/>
    <x v="67"/>
    <n v="0.52307692307692311"/>
  </r>
  <r>
    <s v="ORD-10169"/>
    <x v="281"/>
    <s v="Liam Miller"/>
    <s v="Liam Miller"/>
    <s v="UAE"/>
    <x v="0"/>
    <x v="6"/>
    <x v="1"/>
    <n v="5"/>
    <n v="42"/>
    <n v="21"/>
    <n v="0.15"/>
    <s v="Debit Card"/>
    <s v="Debit Card"/>
    <s v="Pending"/>
    <s v="Pending"/>
    <s v="Valid"/>
    <s v="liam.miller@example.com"/>
    <n v="178.5"/>
    <n v="105"/>
    <x v="150"/>
    <n v="0.41176470588235292"/>
  </r>
  <r>
    <s v="ORD-10186"/>
    <x v="75"/>
    <s v="Ethan Anderson"/>
    <s v="Ethan Anderson"/>
    <s v=" india "/>
    <x v="7"/>
    <x v="9"/>
    <x v="1"/>
    <n v="3"/>
    <n v="65"/>
    <n v="31"/>
    <n v="0.15"/>
    <s v="Debit Card"/>
    <s v="Debit Card"/>
    <s v="Completed"/>
    <s v="Completed"/>
    <s v="Valid"/>
    <s v="ethan.anderson@example.com"/>
    <n v="165.75"/>
    <n v="93"/>
    <x v="117"/>
    <n v="0.43891402714932126"/>
  </r>
  <r>
    <s v="ORD-10036"/>
    <x v="286"/>
    <s v="Mia White"/>
    <s v="Mia White"/>
    <s v="AUS"/>
    <x v="1"/>
    <x v="10"/>
    <x v="3"/>
    <n v="5"/>
    <n v="245"/>
    <n v="150"/>
    <n v="0.2"/>
    <s v="Debit Card"/>
    <s v="Debit Card"/>
    <s v="Completed"/>
    <s v="Completed"/>
    <s v="Valid"/>
    <s v="mia.white@example.com"/>
    <n v="980"/>
    <n v="750"/>
    <x v="77"/>
    <n v="0.234693877551020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ABC4DB-F079-47F6-991B-AD942FDFB4B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25">
    <pivotField showAll="0"/>
    <pivotField numFmtId="166" showAll="0">
      <items count="288">
        <item x="186"/>
        <item x="242"/>
        <item x="91"/>
        <item x="284"/>
        <item x="151"/>
        <item x="261"/>
        <item x="207"/>
        <item x="278"/>
        <item x="166"/>
        <item x="118"/>
        <item x="233"/>
        <item x="221"/>
        <item x="29"/>
        <item x="208"/>
        <item x="247"/>
        <item x="138"/>
        <item x="140"/>
        <item x="274"/>
        <item x="210"/>
        <item x="277"/>
        <item x="24"/>
        <item x="58"/>
        <item x="53"/>
        <item x="252"/>
        <item x="50"/>
        <item x="231"/>
        <item x="280"/>
        <item x="129"/>
        <item x="39"/>
        <item x="246"/>
        <item x="225"/>
        <item x="54"/>
        <item x="214"/>
        <item x="163"/>
        <item x="17"/>
        <item x="134"/>
        <item x="28"/>
        <item x="83"/>
        <item x="156"/>
        <item x="223"/>
        <item x="62"/>
        <item x="59"/>
        <item x="148"/>
        <item x="158"/>
        <item x="175"/>
        <item x="144"/>
        <item x="111"/>
        <item x="64"/>
        <item x="227"/>
        <item x="169"/>
        <item x="60"/>
        <item x="251"/>
        <item x="164"/>
        <item x="232"/>
        <item x="25"/>
        <item x="222"/>
        <item x="0"/>
        <item x="187"/>
        <item x="238"/>
        <item x="61"/>
        <item x="195"/>
        <item x="8"/>
        <item x="141"/>
        <item x="185"/>
        <item x="32"/>
        <item x="198"/>
        <item x="268"/>
        <item x="74"/>
        <item x="269"/>
        <item x="7"/>
        <item x="201"/>
        <item x="92"/>
        <item x="263"/>
        <item x="174"/>
        <item x="234"/>
        <item x="180"/>
        <item x="117"/>
        <item x="203"/>
        <item x="220"/>
        <item x="5"/>
        <item x="178"/>
        <item x="230"/>
        <item x="260"/>
        <item x="167"/>
        <item x="107"/>
        <item x="123"/>
        <item x="93"/>
        <item x="35"/>
        <item x="38"/>
        <item x="87"/>
        <item x="282"/>
        <item x="77"/>
        <item x="2"/>
        <item x="30"/>
        <item x="78"/>
        <item x="126"/>
        <item x="229"/>
        <item x="137"/>
        <item x="213"/>
        <item x="162"/>
        <item x="69"/>
        <item x="43"/>
        <item x="254"/>
        <item x="190"/>
        <item x="22"/>
        <item x="241"/>
        <item x="14"/>
        <item x="143"/>
        <item x="99"/>
        <item x="10"/>
        <item x="286"/>
        <item x="75"/>
        <item x="253"/>
        <item x="121"/>
        <item x="94"/>
        <item x="159"/>
        <item x="258"/>
        <item x="270"/>
        <item x="31"/>
        <item x="154"/>
        <item x="72"/>
        <item x="19"/>
        <item x="276"/>
        <item x="157"/>
        <item x="113"/>
        <item x="189"/>
        <item x="279"/>
        <item x="48"/>
        <item x="226"/>
        <item x="103"/>
        <item x="13"/>
        <item x="56"/>
        <item x="101"/>
        <item x="244"/>
        <item x="125"/>
        <item x="12"/>
        <item x="21"/>
        <item x="133"/>
        <item x="128"/>
        <item x="3"/>
        <item x="114"/>
        <item x="281"/>
        <item x="37"/>
        <item x="42"/>
        <item x="115"/>
        <item x="47"/>
        <item x="212"/>
        <item x="248"/>
        <item x="27"/>
        <item x="266"/>
        <item x="243"/>
        <item x="135"/>
        <item x="152"/>
        <item x="136"/>
        <item x="26"/>
        <item x="67"/>
        <item x="168"/>
        <item x="196"/>
        <item x="153"/>
        <item x="199"/>
        <item x="237"/>
        <item x="68"/>
        <item x="57"/>
        <item x="283"/>
        <item x="66"/>
        <item x="172"/>
        <item x="275"/>
        <item x="209"/>
        <item x="188"/>
        <item x="264"/>
        <item x="95"/>
        <item x="86"/>
        <item x="81"/>
        <item x="105"/>
        <item x="272"/>
        <item x="88"/>
        <item x="200"/>
        <item x="265"/>
        <item x="215"/>
        <item x="194"/>
        <item x="70"/>
        <item x="96"/>
        <item x="51"/>
        <item x="256"/>
        <item x="193"/>
        <item x="20"/>
        <item x="165"/>
        <item x="110"/>
        <item x="120"/>
        <item x="1"/>
        <item x="132"/>
        <item x="49"/>
        <item x="73"/>
        <item x="6"/>
        <item x="267"/>
        <item x="55"/>
        <item x="131"/>
        <item x="149"/>
        <item x="139"/>
        <item x="16"/>
        <item x="245"/>
        <item x="257"/>
        <item x="191"/>
        <item x="9"/>
        <item x="161"/>
        <item x="218"/>
        <item x="11"/>
        <item x="52"/>
        <item x="262"/>
        <item x="179"/>
        <item x="204"/>
        <item x="206"/>
        <item x="65"/>
        <item x="45"/>
        <item x="116"/>
        <item x="44"/>
        <item x="192"/>
        <item x="23"/>
        <item x="79"/>
        <item x="89"/>
        <item x="34"/>
        <item x="84"/>
        <item x="104"/>
        <item x="108"/>
        <item x="145"/>
        <item x="150"/>
        <item x="46"/>
        <item x="216"/>
        <item x="184"/>
        <item x="285"/>
        <item x="71"/>
        <item x="124"/>
        <item x="127"/>
        <item x="146"/>
        <item x="102"/>
        <item x="197"/>
        <item x="122"/>
        <item x="76"/>
        <item x="98"/>
        <item x="171"/>
        <item x="147"/>
        <item x="33"/>
        <item x="271"/>
        <item x="173"/>
        <item x="90"/>
        <item x="41"/>
        <item x="106"/>
        <item x="239"/>
        <item x="250"/>
        <item x="130"/>
        <item x="18"/>
        <item x="224"/>
        <item x="112"/>
        <item x="36"/>
        <item x="182"/>
        <item x="205"/>
        <item x="160"/>
        <item x="249"/>
        <item x="177"/>
        <item x="235"/>
        <item x="80"/>
        <item x="63"/>
        <item x="228"/>
        <item x="202"/>
        <item x="211"/>
        <item x="109"/>
        <item x="40"/>
        <item x="273"/>
        <item x="4"/>
        <item x="240"/>
        <item x="85"/>
        <item x="176"/>
        <item x="255"/>
        <item x="100"/>
        <item x="183"/>
        <item x="181"/>
        <item x="119"/>
        <item x="82"/>
        <item x="155"/>
        <item x="236"/>
        <item x="97"/>
        <item x="219"/>
        <item x="217"/>
        <item x="15"/>
        <item x="170"/>
        <item x="259"/>
        <item x="142"/>
        <item t="default"/>
      </items>
    </pivotField>
    <pivotField showAll="0"/>
    <pivotField showAll="0"/>
    <pivotField showAll="0"/>
    <pivotField showAll="0"/>
    <pivotField axis="axisRow" showAll="0" sortType="descending">
      <items count="13">
        <item x="0"/>
        <item x="4"/>
        <item x="5"/>
        <item x="1"/>
        <item x="9"/>
        <item x="11"/>
        <item x="10"/>
        <item x="7"/>
        <item x="3"/>
        <item x="6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numFmtId="164" showAll="0"/>
    <pivotField numFmtId="165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numFmtId="10" showAll="0"/>
    <pivotField dragToRow="0" dragToCol="0" dragToPage="0"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13">
    <i>
      <x v="6"/>
    </i>
    <i>
      <x v="5"/>
    </i>
    <i>
      <x v="7"/>
    </i>
    <i>
      <x v="2"/>
    </i>
    <i>
      <x v="8"/>
    </i>
    <i>
      <x v="10"/>
    </i>
    <i>
      <x v="4"/>
    </i>
    <i>
      <x v="1"/>
    </i>
    <i>
      <x v="9"/>
    </i>
    <i>
      <x/>
    </i>
    <i>
      <x v="3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_USD" fld="18" baseField="0" baseItem="0"/>
    <dataField name="Sum of Gross_Profit_USD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66FA4-DA0C-40ED-9E02-35B1780AD34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3" firstHeaderRow="1" firstDataRow="1" firstDataCol="1"/>
  <pivotFields count="25">
    <pivotField showAll="0"/>
    <pivotField numFmtId="166" showAll="0">
      <items count="288">
        <item x="186"/>
        <item x="242"/>
        <item x="91"/>
        <item x="284"/>
        <item x="151"/>
        <item x="261"/>
        <item x="207"/>
        <item x="278"/>
        <item x="166"/>
        <item x="118"/>
        <item x="233"/>
        <item x="221"/>
        <item x="29"/>
        <item x="208"/>
        <item x="247"/>
        <item x="138"/>
        <item x="140"/>
        <item x="274"/>
        <item x="210"/>
        <item x="277"/>
        <item x="24"/>
        <item x="58"/>
        <item x="53"/>
        <item x="252"/>
        <item x="50"/>
        <item x="231"/>
        <item x="280"/>
        <item x="129"/>
        <item x="39"/>
        <item x="246"/>
        <item x="225"/>
        <item x="54"/>
        <item x="214"/>
        <item x="163"/>
        <item x="17"/>
        <item x="134"/>
        <item x="28"/>
        <item x="83"/>
        <item x="156"/>
        <item x="223"/>
        <item x="62"/>
        <item x="59"/>
        <item x="148"/>
        <item x="158"/>
        <item x="175"/>
        <item x="144"/>
        <item x="111"/>
        <item x="64"/>
        <item x="227"/>
        <item x="169"/>
        <item x="60"/>
        <item x="251"/>
        <item x="164"/>
        <item x="232"/>
        <item x="25"/>
        <item x="222"/>
        <item x="0"/>
        <item x="187"/>
        <item x="238"/>
        <item x="61"/>
        <item x="195"/>
        <item x="8"/>
        <item x="141"/>
        <item x="185"/>
        <item x="32"/>
        <item x="198"/>
        <item x="268"/>
        <item x="74"/>
        <item x="269"/>
        <item x="7"/>
        <item x="201"/>
        <item x="92"/>
        <item x="263"/>
        <item x="174"/>
        <item x="234"/>
        <item x="180"/>
        <item x="117"/>
        <item x="203"/>
        <item x="220"/>
        <item x="5"/>
        <item x="178"/>
        <item x="230"/>
        <item x="260"/>
        <item x="167"/>
        <item x="107"/>
        <item x="123"/>
        <item x="93"/>
        <item x="35"/>
        <item x="38"/>
        <item x="87"/>
        <item x="282"/>
        <item x="77"/>
        <item x="2"/>
        <item x="30"/>
        <item x="78"/>
        <item x="126"/>
        <item x="229"/>
        <item x="137"/>
        <item x="213"/>
        <item x="162"/>
        <item x="69"/>
        <item x="43"/>
        <item x="254"/>
        <item x="190"/>
        <item x="22"/>
        <item x="241"/>
        <item x="14"/>
        <item x="143"/>
        <item x="99"/>
        <item x="10"/>
        <item x="286"/>
        <item x="75"/>
        <item x="253"/>
        <item x="121"/>
        <item x="94"/>
        <item x="159"/>
        <item x="258"/>
        <item x="270"/>
        <item x="31"/>
        <item x="154"/>
        <item x="72"/>
        <item x="19"/>
        <item x="276"/>
        <item x="157"/>
        <item x="113"/>
        <item x="189"/>
        <item x="279"/>
        <item x="48"/>
        <item x="226"/>
        <item x="103"/>
        <item x="13"/>
        <item x="56"/>
        <item x="101"/>
        <item x="244"/>
        <item x="125"/>
        <item x="12"/>
        <item x="21"/>
        <item x="133"/>
        <item x="128"/>
        <item x="3"/>
        <item x="114"/>
        <item x="281"/>
        <item x="37"/>
        <item x="42"/>
        <item x="115"/>
        <item x="47"/>
        <item x="212"/>
        <item x="248"/>
        <item x="27"/>
        <item x="266"/>
        <item x="243"/>
        <item x="135"/>
        <item x="152"/>
        <item x="136"/>
        <item x="26"/>
        <item x="67"/>
        <item x="168"/>
        <item x="196"/>
        <item x="153"/>
        <item x="199"/>
        <item x="237"/>
        <item x="68"/>
        <item x="57"/>
        <item x="283"/>
        <item x="66"/>
        <item x="172"/>
        <item x="275"/>
        <item x="209"/>
        <item x="188"/>
        <item x="264"/>
        <item x="95"/>
        <item x="86"/>
        <item x="81"/>
        <item x="105"/>
        <item x="272"/>
        <item x="88"/>
        <item x="200"/>
        <item x="265"/>
        <item x="215"/>
        <item x="194"/>
        <item x="70"/>
        <item x="96"/>
        <item x="51"/>
        <item x="256"/>
        <item x="193"/>
        <item x="20"/>
        <item x="165"/>
        <item x="110"/>
        <item x="120"/>
        <item x="1"/>
        <item x="132"/>
        <item x="49"/>
        <item x="73"/>
        <item x="6"/>
        <item x="267"/>
        <item x="55"/>
        <item x="131"/>
        <item x="149"/>
        <item x="139"/>
        <item x="16"/>
        <item x="245"/>
        <item x="257"/>
        <item x="191"/>
        <item x="9"/>
        <item x="161"/>
        <item x="218"/>
        <item x="11"/>
        <item x="52"/>
        <item x="262"/>
        <item x="179"/>
        <item x="204"/>
        <item x="206"/>
        <item x="65"/>
        <item x="45"/>
        <item x="116"/>
        <item x="44"/>
        <item x="192"/>
        <item x="23"/>
        <item x="79"/>
        <item x="89"/>
        <item x="34"/>
        <item x="84"/>
        <item x="104"/>
        <item x="108"/>
        <item x="145"/>
        <item x="150"/>
        <item x="46"/>
        <item x="216"/>
        <item x="184"/>
        <item x="285"/>
        <item x="71"/>
        <item x="124"/>
        <item x="127"/>
        <item x="146"/>
        <item x="102"/>
        <item x="197"/>
        <item x="122"/>
        <item x="76"/>
        <item x="98"/>
        <item x="171"/>
        <item x="147"/>
        <item x="33"/>
        <item x="271"/>
        <item x="173"/>
        <item x="90"/>
        <item x="41"/>
        <item x="106"/>
        <item x="239"/>
        <item x="250"/>
        <item x="130"/>
        <item x="18"/>
        <item x="224"/>
        <item x="112"/>
        <item x="36"/>
        <item x="182"/>
        <item x="205"/>
        <item x="160"/>
        <item x="249"/>
        <item x="177"/>
        <item x="235"/>
        <item x="80"/>
        <item x="63"/>
        <item x="228"/>
        <item x="202"/>
        <item x="211"/>
        <item x="109"/>
        <item x="40"/>
        <item x="273"/>
        <item x="4"/>
        <item x="240"/>
        <item x="85"/>
        <item x="176"/>
        <item x="255"/>
        <item x="100"/>
        <item x="183"/>
        <item x="181"/>
        <item x="119"/>
        <item x="82"/>
        <item x="155"/>
        <item x="236"/>
        <item x="97"/>
        <item x="219"/>
        <item x="217"/>
        <item x="15"/>
        <item x="170"/>
        <item x="259"/>
        <item x="142"/>
        <item t="default"/>
      </items>
    </pivotField>
    <pivotField showAll="0"/>
    <pivotField showAll="0"/>
    <pivotField showAll="0"/>
    <pivotField axis="axisRow" showAll="0">
      <items count="10">
        <item x="1"/>
        <item x="6"/>
        <item x="3"/>
        <item x="7"/>
        <item x="5"/>
        <item x="0"/>
        <item x="2"/>
        <item x="4"/>
        <item x="8"/>
        <item t="default"/>
      </items>
    </pivotField>
    <pivotField showAll="0"/>
    <pivotField showAll="0"/>
    <pivotField showAll="0"/>
    <pivotField numFmtId="164" showAll="0"/>
    <pivotField numFmtId="164" showAll="0"/>
    <pivotField numFmtId="165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201">
        <item x="195"/>
        <item x="2"/>
        <item x="112"/>
        <item x="167"/>
        <item x="191"/>
        <item x="30"/>
        <item x="125"/>
        <item x="142"/>
        <item x="98"/>
        <item x="75"/>
        <item x="119"/>
        <item x="165"/>
        <item x="199"/>
        <item x="55"/>
        <item x="19"/>
        <item x="126"/>
        <item x="188"/>
        <item x="65"/>
        <item x="146"/>
        <item x="113"/>
        <item x="74"/>
        <item x="132"/>
        <item x="89"/>
        <item x="99"/>
        <item x="42"/>
        <item x="66"/>
        <item x="6"/>
        <item x="198"/>
        <item x="161"/>
        <item x="190"/>
        <item x="63"/>
        <item x="16"/>
        <item x="111"/>
        <item x="15"/>
        <item x="33"/>
        <item x="123"/>
        <item x="25"/>
        <item x="4"/>
        <item x="41"/>
        <item x="145"/>
        <item x="56"/>
        <item x="28"/>
        <item x="48"/>
        <item x="179"/>
        <item x="3"/>
        <item x="140"/>
        <item x="49"/>
        <item x="118"/>
        <item x="135"/>
        <item x="90"/>
        <item x="105"/>
        <item x="185"/>
        <item x="181"/>
        <item x="76"/>
        <item x="141"/>
        <item x="70"/>
        <item x="182"/>
        <item x="180"/>
        <item x="107"/>
        <item x="139"/>
        <item x="192"/>
        <item x="116"/>
        <item x="47"/>
        <item x="130"/>
        <item x="166"/>
        <item x="52"/>
        <item x="17"/>
        <item x="8"/>
        <item x="174"/>
        <item x="23"/>
        <item x="128"/>
        <item x="153"/>
        <item x="81"/>
        <item x="79"/>
        <item x="0"/>
        <item x="36"/>
        <item x="18"/>
        <item x="143"/>
        <item x="11"/>
        <item x="184"/>
        <item x="114"/>
        <item x="88"/>
        <item x="69"/>
        <item x="158"/>
        <item x="149"/>
        <item x="71"/>
        <item x="120"/>
        <item x="26"/>
        <item x="187"/>
        <item x="108"/>
        <item x="95"/>
        <item x="60"/>
        <item x="117"/>
        <item x="87"/>
        <item x="178"/>
        <item x="150"/>
        <item x="9"/>
        <item x="22"/>
        <item x="51"/>
        <item x="37"/>
        <item x="100"/>
        <item x="10"/>
        <item x="13"/>
        <item x="20"/>
        <item x="83"/>
        <item x="45"/>
        <item x="38"/>
        <item x="1"/>
        <item x="183"/>
        <item x="72"/>
        <item x="27"/>
        <item x="78"/>
        <item x="159"/>
        <item x="40"/>
        <item x="102"/>
        <item x="131"/>
        <item x="58"/>
        <item x="109"/>
        <item x="68"/>
        <item x="171"/>
        <item x="129"/>
        <item x="194"/>
        <item x="160"/>
        <item x="86"/>
        <item x="162"/>
        <item x="21"/>
        <item x="97"/>
        <item x="137"/>
        <item x="147"/>
        <item x="61"/>
        <item x="136"/>
        <item x="34"/>
        <item x="64"/>
        <item x="122"/>
        <item x="193"/>
        <item x="14"/>
        <item x="103"/>
        <item x="156"/>
        <item x="85"/>
        <item x="29"/>
        <item x="39"/>
        <item x="46"/>
        <item x="12"/>
        <item x="5"/>
        <item x="115"/>
        <item x="186"/>
        <item x="148"/>
        <item x="189"/>
        <item x="92"/>
        <item x="104"/>
        <item x="138"/>
        <item x="173"/>
        <item x="110"/>
        <item x="164"/>
        <item x="35"/>
        <item x="50"/>
        <item x="134"/>
        <item x="44"/>
        <item x="24"/>
        <item x="54"/>
        <item x="196"/>
        <item x="101"/>
        <item x="82"/>
        <item x="154"/>
        <item x="151"/>
        <item x="7"/>
        <item x="175"/>
        <item x="177"/>
        <item x="67"/>
        <item x="73"/>
        <item x="127"/>
        <item x="93"/>
        <item x="170"/>
        <item x="43"/>
        <item x="155"/>
        <item x="163"/>
        <item x="172"/>
        <item x="59"/>
        <item x="32"/>
        <item x="176"/>
        <item x="53"/>
        <item x="84"/>
        <item x="77"/>
        <item x="121"/>
        <item x="157"/>
        <item x="94"/>
        <item x="106"/>
        <item x="133"/>
        <item x="57"/>
        <item x="80"/>
        <item x="31"/>
        <item x="62"/>
        <item x="169"/>
        <item x="144"/>
        <item x="124"/>
        <item x="168"/>
        <item x="152"/>
        <item x="91"/>
        <item x="96"/>
        <item x="197"/>
        <item t="default"/>
      </items>
    </pivotField>
    <pivotField numFmtId="10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Revenue_USD" fld="18" baseField="0" baseItem="0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BE24F1-D40C-4ED7-A56A-F1FB55A8D44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12:B17" firstHeaderRow="1" firstDataRow="1" firstDataCol="1"/>
  <pivotFields count="25">
    <pivotField showAll="0"/>
    <pivotField numFmtId="166" showAll="0">
      <items count="288">
        <item x="186"/>
        <item x="242"/>
        <item x="91"/>
        <item x="284"/>
        <item x="151"/>
        <item x="261"/>
        <item x="207"/>
        <item x="278"/>
        <item x="166"/>
        <item x="118"/>
        <item x="233"/>
        <item x="221"/>
        <item x="29"/>
        <item x="208"/>
        <item x="247"/>
        <item x="138"/>
        <item x="140"/>
        <item x="274"/>
        <item x="210"/>
        <item x="277"/>
        <item x="24"/>
        <item x="58"/>
        <item x="53"/>
        <item x="252"/>
        <item x="50"/>
        <item x="231"/>
        <item x="280"/>
        <item x="129"/>
        <item x="39"/>
        <item x="246"/>
        <item x="225"/>
        <item x="54"/>
        <item x="214"/>
        <item x="163"/>
        <item x="17"/>
        <item x="134"/>
        <item x="28"/>
        <item x="83"/>
        <item x="156"/>
        <item x="223"/>
        <item x="62"/>
        <item x="59"/>
        <item x="148"/>
        <item x="158"/>
        <item x="175"/>
        <item x="144"/>
        <item x="111"/>
        <item x="64"/>
        <item x="227"/>
        <item x="169"/>
        <item x="60"/>
        <item x="251"/>
        <item x="164"/>
        <item x="232"/>
        <item x="25"/>
        <item x="222"/>
        <item x="0"/>
        <item x="187"/>
        <item x="238"/>
        <item x="61"/>
        <item x="195"/>
        <item x="8"/>
        <item x="141"/>
        <item x="185"/>
        <item x="32"/>
        <item x="198"/>
        <item x="268"/>
        <item x="74"/>
        <item x="269"/>
        <item x="7"/>
        <item x="201"/>
        <item x="92"/>
        <item x="263"/>
        <item x="174"/>
        <item x="234"/>
        <item x="180"/>
        <item x="117"/>
        <item x="203"/>
        <item x="220"/>
        <item x="5"/>
        <item x="178"/>
        <item x="230"/>
        <item x="260"/>
        <item x="167"/>
        <item x="107"/>
        <item x="123"/>
        <item x="93"/>
        <item x="35"/>
        <item x="38"/>
        <item x="87"/>
        <item x="282"/>
        <item x="77"/>
        <item x="2"/>
        <item x="30"/>
        <item x="78"/>
        <item x="126"/>
        <item x="229"/>
        <item x="137"/>
        <item x="213"/>
        <item x="162"/>
        <item x="69"/>
        <item x="43"/>
        <item x="254"/>
        <item x="190"/>
        <item x="22"/>
        <item x="241"/>
        <item x="14"/>
        <item x="143"/>
        <item x="99"/>
        <item x="10"/>
        <item x="286"/>
        <item x="75"/>
        <item x="253"/>
        <item x="121"/>
        <item x="94"/>
        <item x="159"/>
        <item x="258"/>
        <item x="270"/>
        <item x="31"/>
        <item x="154"/>
        <item x="72"/>
        <item x="19"/>
        <item x="276"/>
        <item x="157"/>
        <item x="113"/>
        <item x="189"/>
        <item x="279"/>
        <item x="48"/>
        <item x="226"/>
        <item x="103"/>
        <item x="13"/>
        <item x="56"/>
        <item x="101"/>
        <item x="244"/>
        <item x="125"/>
        <item x="12"/>
        <item x="21"/>
        <item x="133"/>
        <item x="128"/>
        <item x="3"/>
        <item x="114"/>
        <item x="281"/>
        <item x="37"/>
        <item x="42"/>
        <item x="115"/>
        <item x="47"/>
        <item x="212"/>
        <item x="248"/>
        <item x="27"/>
        <item x="266"/>
        <item x="243"/>
        <item x="135"/>
        <item x="152"/>
        <item x="136"/>
        <item x="26"/>
        <item x="67"/>
        <item x="168"/>
        <item x="196"/>
        <item x="153"/>
        <item x="199"/>
        <item x="237"/>
        <item x="68"/>
        <item x="57"/>
        <item x="283"/>
        <item x="66"/>
        <item x="172"/>
        <item x="275"/>
        <item x="209"/>
        <item x="188"/>
        <item x="264"/>
        <item x="95"/>
        <item x="86"/>
        <item x="81"/>
        <item x="105"/>
        <item x="272"/>
        <item x="88"/>
        <item x="200"/>
        <item x="265"/>
        <item x="215"/>
        <item x="194"/>
        <item x="70"/>
        <item x="96"/>
        <item x="51"/>
        <item x="256"/>
        <item x="193"/>
        <item x="20"/>
        <item x="165"/>
        <item x="110"/>
        <item x="120"/>
        <item x="1"/>
        <item x="132"/>
        <item x="49"/>
        <item x="73"/>
        <item x="6"/>
        <item x="267"/>
        <item x="55"/>
        <item x="131"/>
        <item x="149"/>
        <item x="139"/>
        <item x="16"/>
        <item x="245"/>
        <item x="257"/>
        <item x="191"/>
        <item x="9"/>
        <item x="161"/>
        <item x="218"/>
        <item x="11"/>
        <item x="52"/>
        <item x="262"/>
        <item x="179"/>
        <item x="204"/>
        <item x="206"/>
        <item x="65"/>
        <item x="45"/>
        <item x="116"/>
        <item x="44"/>
        <item x="192"/>
        <item x="23"/>
        <item x="79"/>
        <item x="89"/>
        <item x="34"/>
        <item x="84"/>
        <item x="104"/>
        <item x="108"/>
        <item x="145"/>
        <item x="150"/>
        <item x="46"/>
        <item x="216"/>
        <item x="184"/>
        <item x="285"/>
        <item x="71"/>
        <item x="124"/>
        <item x="127"/>
        <item x="146"/>
        <item x="102"/>
        <item x="197"/>
        <item x="122"/>
        <item x="76"/>
        <item x="98"/>
        <item x="171"/>
        <item x="147"/>
        <item x="33"/>
        <item x="271"/>
        <item x="173"/>
        <item x="90"/>
        <item x="41"/>
        <item x="106"/>
        <item x="239"/>
        <item x="250"/>
        <item x="130"/>
        <item x="18"/>
        <item x="224"/>
        <item x="112"/>
        <item x="36"/>
        <item x="182"/>
        <item x="205"/>
        <item x="160"/>
        <item x="249"/>
        <item x="177"/>
        <item x="235"/>
        <item x="80"/>
        <item x="63"/>
        <item x="228"/>
        <item x="202"/>
        <item x="211"/>
        <item x="109"/>
        <item x="40"/>
        <item x="273"/>
        <item x="4"/>
        <item x="240"/>
        <item x="85"/>
        <item x="176"/>
        <item x="255"/>
        <item x="100"/>
        <item x="183"/>
        <item x="181"/>
        <item x="119"/>
        <item x="82"/>
        <item x="155"/>
        <item x="236"/>
        <item x="97"/>
        <item x="219"/>
        <item x="217"/>
        <item x="15"/>
        <item x="170"/>
        <item x="259"/>
        <item x="14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numFmtId="164" showAll="0"/>
    <pivotField numFmtId="164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Gross Margin" fld="22" baseField="0" baseItem="0" numFmtId="10"/>
  </dataFields>
  <formats count="2">
    <format dxfId="8">
      <pivotArea outline="0" collapsedLevelsAreSubtotals="1" fieldPosition="0"/>
    </format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2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CF248F-FDB4-4D85-8912-A9D440DCBA4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3:C8" firstHeaderRow="0" firstDataRow="1" firstDataCol="1"/>
  <pivotFields count="25">
    <pivotField showAll="0"/>
    <pivotField numFmtId="166" showAll="0">
      <items count="288">
        <item x="186"/>
        <item x="242"/>
        <item x="91"/>
        <item x="284"/>
        <item x="151"/>
        <item x="261"/>
        <item x="207"/>
        <item x="278"/>
        <item x="166"/>
        <item x="118"/>
        <item x="233"/>
        <item x="221"/>
        <item x="29"/>
        <item x="208"/>
        <item x="247"/>
        <item x="138"/>
        <item x="140"/>
        <item x="274"/>
        <item x="210"/>
        <item x="277"/>
        <item x="24"/>
        <item x="58"/>
        <item x="53"/>
        <item x="252"/>
        <item x="50"/>
        <item x="231"/>
        <item x="280"/>
        <item x="129"/>
        <item x="39"/>
        <item x="246"/>
        <item x="225"/>
        <item x="54"/>
        <item x="214"/>
        <item x="163"/>
        <item x="17"/>
        <item x="134"/>
        <item x="28"/>
        <item x="83"/>
        <item x="156"/>
        <item x="223"/>
        <item x="62"/>
        <item x="59"/>
        <item x="148"/>
        <item x="158"/>
        <item x="175"/>
        <item x="144"/>
        <item x="111"/>
        <item x="64"/>
        <item x="227"/>
        <item x="169"/>
        <item x="60"/>
        <item x="251"/>
        <item x="164"/>
        <item x="232"/>
        <item x="25"/>
        <item x="222"/>
        <item x="0"/>
        <item x="187"/>
        <item x="238"/>
        <item x="61"/>
        <item x="195"/>
        <item x="8"/>
        <item x="141"/>
        <item x="185"/>
        <item x="32"/>
        <item x="198"/>
        <item x="268"/>
        <item x="74"/>
        <item x="269"/>
        <item x="7"/>
        <item x="201"/>
        <item x="92"/>
        <item x="263"/>
        <item x="174"/>
        <item x="234"/>
        <item x="180"/>
        <item x="117"/>
        <item x="203"/>
        <item x="220"/>
        <item x="5"/>
        <item x="178"/>
        <item x="230"/>
        <item x="260"/>
        <item x="167"/>
        <item x="107"/>
        <item x="123"/>
        <item x="93"/>
        <item x="35"/>
        <item x="38"/>
        <item x="87"/>
        <item x="282"/>
        <item x="77"/>
        <item x="2"/>
        <item x="30"/>
        <item x="78"/>
        <item x="126"/>
        <item x="229"/>
        <item x="137"/>
        <item x="213"/>
        <item x="162"/>
        <item x="69"/>
        <item x="43"/>
        <item x="254"/>
        <item x="190"/>
        <item x="22"/>
        <item x="241"/>
        <item x="14"/>
        <item x="143"/>
        <item x="99"/>
        <item x="10"/>
        <item x="286"/>
        <item x="75"/>
        <item x="253"/>
        <item x="121"/>
        <item x="94"/>
        <item x="159"/>
        <item x="258"/>
        <item x="270"/>
        <item x="31"/>
        <item x="154"/>
        <item x="72"/>
        <item x="19"/>
        <item x="276"/>
        <item x="157"/>
        <item x="113"/>
        <item x="189"/>
        <item x="279"/>
        <item x="48"/>
        <item x="226"/>
        <item x="103"/>
        <item x="13"/>
        <item x="56"/>
        <item x="101"/>
        <item x="244"/>
        <item x="125"/>
        <item x="12"/>
        <item x="21"/>
        <item x="133"/>
        <item x="128"/>
        <item x="3"/>
        <item x="114"/>
        <item x="281"/>
        <item x="37"/>
        <item x="42"/>
        <item x="115"/>
        <item x="47"/>
        <item x="212"/>
        <item x="248"/>
        <item x="27"/>
        <item x="266"/>
        <item x="243"/>
        <item x="135"/>
        <item x="152"/>
        <item x="136"/>
        <item x="26"/>
        <item x="67"/>
        <item x="168"/>
        <item x="196"/>
        <item x="153"/>
        <item x="199"/>
        <item x="237"/>
        <item x="68"/>
        <item x="57"/>
        <item x="283"/>
        <item x="66"/>
        <item x="172"/>
        <item x="275"/>
        <item x="209"/>
        <item x="188"/>
        <item x="264"/>
        <item x="95"/>
        <item x="86"/>
        <item x="81"/>
        <item x="105"/>
        <item x="272"/>
        <item x="88"/>
        <item x="200"/>
        <item x="265"/>
        <item x="215"/>
        <item x="194"/>
        <item x="70"/>
        <item x="96"/>
        <item x="51"/>
        <item x="256"/>
        <item x="193"/>
        <item x="20"/>
        <item x="165"/>
        <item x="110"/>
        <item x="120"/>
        <item x="1"/>
        <item x="132"/>
        <item x="49"/>
        <item x="73"/>
        <item x="6"/>
        <item x="267"/>
        <item x="55"/>
        <item x="131"/>
        <item x="149"/>
        <item x="139"/>
        <item x="16"/>
        <item x="245"/>
        <item x="257"/>
        <item x="191"/>
        <item x="9"/>
        <item x="161"/>
        <item x="218"/>
        <item x="11"/>
        <item x="52"/>
        <item x="262"/>
        <item x="179"/>
        <item x="204"/>
        <item x="206"/>
        <item x="65"/>
        <item x="45"/>
        <item x="116"/>
        <item x="44"/>
        <item x="192"/>
        <item x="23"/>
        <item x="79"/>
        <item x="89"/>
        <item x="34"/>
        <item x="84"/>
        <item x="104"/>
        <item x="108"/>
        <item x="145"/>
        <item x="150"/>
        <item x="46"/>
        <item x="216"/>
        <item x="184"/>
        <item x="285"/>
        <item x="71"/>
        <item x="124"/>
        <item x="127"/>
        <item x="146"/>
        <item x="102"/>
        <item x="197"/>
        <item x="122"/>
        <item x="76"/>
        <item x="98"/>
        <item x="171"/>
        <item x="147"/>
        <item x="33"/>
        <item x="271"/>
        <item x="173"/>
        <item x="90"/>
        <item x="41"/>
        <item x="106"/>
        <item x="239"/>
        <item x="250"/>
        <item x="130"/>
        <item x="18"/>
        <item x="224"/>
        <item x="112"/>
        <item x="36"/>
        <item x="182"/>
        <item x="205"/>
        <item x="160"/>
        <item x="249"/>
        <item x="177"/>
        <item x="235"/>
        <item x="80"/>
        <item x="63"/>
        <item x="228"/>
        <item x="202"/>
        <item x="211"/>
        <item x="109"/>
        <item x="40"/>
        <item x="273"/>
        <item x="4"/>
        <item x="240"/>
        <item x="85"/>
        <item x="176"/>
        <item x="255"/>
        <item x="100"/>
        <item x="183"/>
        <item x="181"/>
        <item x="119"/>
        <item x="82"/>
        <item x="155"/>
        <item x="236"/>
        <item x="97"/>
        <item x="219"/>
        <item x="217"/>
        <item x="15"/>
        <item x="170"/>
        <item x="259"/>
        <item x="14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numFmtId="164" showAll="0"/>
    <pivotField numFmtId="164" showAll="0"/>
    <pivotField numFmtId="165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numFmtId="10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_USD" fld="18" baseField="0" baseItem="0"/>
    <dataField name="Sum of Gross_Profit_USD" fld="20" baseField="0" baseItem="0"/>
  </dataFields>
  <formats count="1">
    <format dxfId="9">
      <pivotArea outline="0" collapsedLevelsAreSubtotals="1" fieldPosition="0"/>
    </format>
  </formats>
  <chartFormats count="2">
    <chartFormat chart="1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605F5-994A-45E3-896E-CBB5EF1ED22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17" firstHeaderRow="0" firstDataRow="1" firstDataCol="1"/>
  <pivotFields count="25">
    <pivotField showAll="0"/>
    <pivotField numFmtId="166" showAll="0">
      <items count="288">
        <item x="186"/>
        <item x="242"/>
        <item x="91"/>
        <item x="284"/>
        <item x="151"/>
        <item x="261"/>
        <item x="207"/>
        <item x="278"/>
        <item x="166"/>
        <item x="118"/>
        <item x="233"/>
        <item x="221"/>
        <item x="29"/>
        <item x="208"/>
        <item x="247"/>
        <item x="138"/>
        <item x="140"/>
        <item x="274"/>
        <item x="210"/>
        <item x="277"/>
        <item x="24"/>
        <item x="58"/>
        <item x="53"/>
        <item x="252"/>
        <item x="50"/>
        <item x="231"/>
        <item x="280"/>
        <item x="129"/>
        <item x="39"/>
        <item x="246"/>
        <item x="225"/>
        <item x="54"/>
        <item x="214"/>
        <item x="163"/>
        <item x="17"/>
        <item x="134"/>
        <item x="28"/>
        <item x="83"/>
        <item x="156"/>
        <item x="223"/>
        <item x="62"/>
        <item x="59"/>
        <item x="148"/>
        <item x="158"/>
        <item x="175"/>
        <item x="144"/>
        <item x="111"/>
        <item x="64"/>
        <item x="227"/>
        <item x="169"/>
        <item x="60"/>
        <item x="251"/>
        <item x="164"/>
        <item x="232"/>
        <item x="25"/>
        <item x="222"/>
        <item x="0"/>
        <item x="187"/>
        <item x="238"/>
        <item x="61"/>
        <item x="195"/>
        <item x="8"/>
        <item x="141"/>
        <item x="185"/>
        <item x="32"/>
        <item x="198"/>
        <item x="268"/>
        <item x="74"/>
        <item x="269"/>
        <item x="7"/>
        <item x="201"/>
        <item x="92"/>
        <item x="263"/>
        <item x="174"/>
        <item x="234"/>
        <item x="180"/>
        <item x="117"/>
        <item x="203"/>
        <item x="220"/>
        <item x="5"/>
        <item x="178"/>
        <item x="230"/>
        <item x="260"/>
        <item x="167"/>
        <item x="107"/>
        <item x="123"/>
        <item x="93"/>
        <item x="35"/>
        <item x="38"/>
        <item x="87"/>
        <item x="282"/>
        <item x="77"/>
        <item x="2"/>
        <item x="30"/>
        <item x="78"/>
        <item x="126"/>
        <item x="229"/>
        <item x="137"/>
        <item x="213"/>
        <item x="162"/>
        <item x="69"/>
        <item x="43"/>
        <item x="254"/>
        <item x="190"/>
        <item x="22"/>
        <item x="241"/>
        <item x="14"/>
        <item x="143"/>
        <item x="99"/>
        <item x="10"/>
        <item x="286"/>
        <item x="75"/>
        <item x="253"/>
        <item x="121"/>
        <item x="94"/>
        <item x="159"/>
        <item x="258"/>
        <item x="270"/>
        <item x="31"/>
        <item x="154"/>
        <item x="72"/>
        <item x="19"/>
        <item x="276"/>
        <item x="157"/>
        <item x="113"/>
        <item x="189"/>
        <item x="279"/>
        <item x="48"/>
        <item x="226"/>
        <item x="103"/>
        <item x="13"/>
        <item x="56"/>
        <item x="101"/>
        <item x="244"/>
        <item x="125"/>
        <item x="12"/>
        <item x="21"/>
        <item x="133"/>
        <item x="128"/>
        <item x="3"/>
        <item x="114"/>
        <item x="281"/>
        <item x="37"/>
        <item x="42"/>
        <item x="115"/>
        <item x="47"/>
        <item x="212"/>
        <item x="248"/>
        <item x="27"/>
        <item x="266"/>
        <item x="243"/>
        <item x="135"/>
        <item x="152"/>
        <item x="136"/>
        <item x="26"/>
        <item x="67"/>
        <item x="168"/>
        <item x="196"/>
        <item x="153"/>
        <item x="199"/>
        <item x="237"/>
        <item x="68"/>
        <item x="57"/>
        <item x="283"/>
        <item x="66"/>
        <item x="172"/>
        <item x="275"/>
        <item x="209"/>
        <item x="188"/>
        <item x="264"/>
        <item x="95"/>
        <item x="86"/>
        <item x="81"/>
        <item x="105"/>
        <item x="272"/>
        <item x="88"/>
        <item x="200"/>
        <item x="265"/>
        <item x="215"/>
        <item x="194"/>
        <item x="70"/>
        <item x="96"/>
        <item x="51"/>
        <item x="256"/>
        <item x="193"/>
        <item x="20"/>
        <item x="165"/>
        <item x="110"/>
        <item x="120"/>
        <item x="1"/>
        <item x="132"/>
        <item x="49"/>
        <item x="73"/>
        <item x="6"/>
        <item x="267"/>
        <item x="55"/>
        <item x="131"/>
        <item x="149"/>
        <item x="139"/>
        <item x="16"/>
        <item x="245"/>
        <item x="257"/>
        <item x="191"/>
        <item x="9"/>
        <item x="161"/>
        <item x="218"/>
        <item x="11"/>
        <item x="52"/>
        <item x="262"/>
        <item x="179"/>
        <item x="204"/>
        <item x="206"/>
        <item x="65"/>
        <item x="45"/>
        <item x="116"/>
        <item x="44"/>
        <item x="192"/>
        <item x="23"/>
        <item x="79"/>
        <item x="89"/>
        <item x="34"/>
        <item x="84"/>
        <item x="104"/>
        <item x="108"/>
        <item x="145"/>
        <item x="150"/>
        <item x="46"/>
        <item x="216"/>
        <item x="184"/>
        <item x="285"/>
        <item x="71"/>
        <item x="124"/>
        <item x="127"/>
        <item x="146"/>
        <item x="102"/>
        <item x="197"/>
        <item x="122"/>
        <item x="76"/>
        <item x="98"/>
        <item x="171"/>
        <item x="147"/>
        <item x="33"/>
        <item x="271"/>
        <item x="173"/>
        <item x="90"/>
        <item x="41"/>
        <item x="106"/>
        <item x="239"/>
        <item x="250"/>
        <item x="130"/>
        <item x="18"/>
        <item x="224"/>
        <item x="112"/>
        <item x="36"/>
        <item x="182"/>
        <item x="205"/>
        <item x="160"/>
        <item x="249"/>
        <item x="177"/>
        <item x="235"/>
        <item x="80"/>
        <item x="63"/>
        <item x="228"/>
        <item x="202"/>
        <item x="211"/>
        <item x="109"/>
        <item x="40"/>
        <item x="273"/>
        <item x="4"/>
        <item x="240"/>
        <item x="85"/>
        <item x="176"/>
        <item x="255"/>
        <item x="100"/>
        <item x="183"/>
        <item x="181"/>
        <item x="119"/>
        <item x="82"/>
        <item x="155"/>
        <item x="236"/>
        <item x="97"/>
        <item x="219"/>
        <item x="217"/>
        <item x="15"/>
        <item x="170"/>
        <item x="259"/>
        <item x="1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5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numFmtId="10" showAll="0"/>
    <pivotField dragToRow="0" dragToCol="0" dragToPage="0" showAll="0" defaultSubtota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24"/>
    <field x="23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_USD" fld="18" baseField="0" baseItem="0"/>
    <dataField name="Sum of Gross_Profit_USD" fld="20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BA2E-B4CD-4CBE-8E4F-1DAA17943E17}">
  <sheetPr>
    <pageSetUpPr fitToPage="1"/>
  </sheetPr>
  <dimension ref="A1:L63"/>
  <sheetViews>
    <sheetView showGridLines="0" tabSelected="1" topLeftCell="A4" zoomScale="94" zoomScaleNormal="94" workbookViewId="0">
      <selection activeCell="A3" sqref="A3"/>
    </sheetView>
  </sheetViews>
  <sheetFormatPr defaultRowHeight="14.4" x14ac:dyDescent="0.3"/>
  <cols>
    <col min="1" max="1" width="84.109375" customWidth="1"/>
    <col min="2" max="2" width="17.109375" customWidth="1"/>
    <col min="3" max="3" width="3.77734375" customWidth="1"/>
    <col min="4" max="4" width="39.109375" bestFit="1" customWidth="1"/>
    <col min="5" max="5" width="13.44140625" customWidth="1"/>
    <col min="6" max="6" width="4.77734375" customWidth="1"/>
    <col min="7" max="7" width="14.109375" bestFit="1" customWidth="1"/>
    <col min="8" max="9" width="4.77734375" customWidth="1"/>
    <col min="10" max="10" width="11.44140625" bestFit="1" customWidth="1"/>
    <col min="11" max="14" width="4.77734375" customWidth="1"/>
  </cols>
  <sheetData>
    <row r="1" spans="1:12" ht="31.2" x14ac:dyDescent="0.6">
      <c r="A1" s="28" t="s">
        <v>765</v>
      </c>
      <c r="B1" s="29"/>
      <c r="C1" s="29"/>
      <c r="D1" s="29"/>
    </row>
    <row r="2" spans="1:12" x14ac:dyDescent="0.3">
      <c r="A2" t="s">
        <v>766</v>
      </c>
    </row>
    <row r="4" spans="1:12" x14ac:dyDescent="0.3">
      <c r="A4" s="20" t="s">
        <v>719</v>
      </c>
      <c r="B4" s="20"/>
      <c r="C4" s="20"/>
      <c r="D4" s="21" t="s">
        <v>736</v>
      </c>
      <c r="E4" s="21"/>
      <c r="F4" s="21"/>
      <c r="G4" s="21" t="s">
        <v>767</v>
      </c>
      <c r="H4" s="21"/>
      <c r="I4" s="21"/>
      <c r="J4" s="21" t="s">
        <v>729</v>
      </c>
      <c r="K4" s="21"/>
      <c r="L4" s="21"/>
    </row>
    <row r="5" spans="1:12" ht="28.8" x14ac:dyDescent="0.55000000000000004">
      <c r="A5" s="30">
        <f>KPI_Summary!B2</f>
        <v>147019.1</v>
      </c>
      <c r="B5" s="31"/>
      <c r="C5" s="31"/>
      <c r="D5" s="32">
        <f>KPI_Summary!B4</f>
        <v>58998.1</v>
      </c>
      <c r="E5" s="33"/>
      <c r="F5" s="33"/>
      <c r="G5" s="34">
        <f>KPI_Summary!B5</f>
        <v>0.40129547793449966</v>
      </c>
      <c r="H5" s="33"/>
      <c r="I5" s="33"/>
      <c r="J5" s="35">
        <f>KPI_Summary!B6</f>
        <v>550</v>
      </c>
      <c r="K5" s="33"/>
      <c r="L5" s="33"/>
    </row>
    <row r="6" spans="1:12" x14ac:dyDescent="0.3">
      <c r="A6" s="23"/>
      <c r="B6" s="20"/>
      <c r="C6" s="20"/>
      <c r="D6" s="21"/>
      <c r="E6" s="21"/>
      <c r="F6" s="21"/>
      <c r="G6" s="21"/>
      <c r="H6" s="21"/>
      <c r="I6" s="21"/>
      <c r="J6" s="21"/>
      <c r="K6" s="21"/>
      <c r="L6" s="21"/>
    </row>
    <row r="8" spans="1:12" x14ac:dyDescent="0.3">
      <c r="A8" s="21" t="s">
        <v>731</v>
      </c>
      <c r="B8" s="21"/>
      <c r="C8" s="21"/>
      <c r="D8" s="21" t="s">
        <v>768</v>
      </c>
      <c r="E8" s="21"/>
      <c r="F8" s="21"/>
      <c r="G8" s="10"/>
      <c r="H8" s="10"/>
    </row>
    <row r="9" spans="1:12" ht="28.8" x14ac:dyDescent="0.55000000000000004">
      <c r="A9" s="32">
        <f>KPI_Summary!B7</f>
        <v>267.30745454545456</v>
      </c>
      <c r="B9" s="33"/>
      <c r="C9" s="33"/>
      <c r="D9" s="35" t="str">
        <f>INDEX(Pivot_Country!A4:A11,MATCH(MAX(Pivot_Country!B4:B11),Pivot_Country!B4:B11,0))</f>
        <v>United Arab Emirates</v>
      </c>
      <c r="E9" s="33"/>
      <c r="F9" s="33"/>
      <c r="G9" s="10"/>
      <c r="H9" s="10"/>
    </row>
    <row r="10" spans="1:12" x14ac:dyDescent="0.3">
      <c r="A10" s="21"/>
      <c r="B10" s="21"/>
      <c r="C10" s="21"/>
      <c r="D10" s="21"/>
      <c r="E10" s="21"/>
      <c r="F10" s="21"/>
      <c r="G10" s="10"/>
      <c r="H10" s="10"/>
    </row>
    <row r="11" spans="1:12" ht="23.4" customHeight="1" x14ac:dyDescent="0.3"/>
    <row r="12" spans="1:12" ht="29.4" customHeight="1" x14ac:dyDescent="0.4">
      <c r="A12" s="22" t="s">
        <v>769</v>
      </c>
    </row>
    <row r="13" spans="1:12" ht="18" customHeight="1" x14ac:dyDescent="0.3"/>
    <row r="49" spans="1:5" x14ac:dyDescent="0.3">
      <c r="A49" s="24"/>
      <c r="B49" s="24"/>
      <c r="C49" s="24"/>
      <c r="D49" s="24"/>
      <c r="E49" s="24"/>
    </row>
    <row r="50" spans="1:5" ht="21" x14ac:dyDescent="0.4">
      <c r="A50" s="25" t="s">
        <v>770</v>
      </c>
      <c r="B50" s="24"/>
      <c r="C50" s="24"/>
      <c r="D50" s="24"/>
      <c r="E50" s="24"/>
    </row>
    <row r="51" spans="1:5" x14ac:dyDescent="0.3">
      <c r="A51" s="24"/>
      <c r="B51" s="24"/>
      <c r="C51" s="24"/>
      <c r="D51" s="24"/>
      <c r="E51" s="24"/>
    </row>
    <row r="52" spans="1:5" ht="18" x14ac:dyDescent="0.3">
      <c r="A52" s="26" t="s">
        <v>771</v>
      </c>
      <c r="B52" s="24"/>
      <c r="C52" s="24"/>
      <c r="D52" s="24"/>
      <c r="E52" s="24"/>
    </row>
    <row r="53" spans="1:5" x14ac:dyDescent="0.3">
      <c r="A53" s="27" t="s">
        <v>772</v>
      </c>
      <c r="B53" s="24"/>
      <c r="C53" s="24"/>
      <c r="D53" s="24"/>
      <c r="E53" s="24"/>
    </row>
    <row r="54" spans="1:5" x14ac:dyDescent="0.3">
      <c r="A54" s="24"/>
      <c r="B54" s="24"/>
      <c r="C54" s="24"/>
      <c r="D54" s="24"/>
      <c r="E54" s="24"/>
    </row>
    <row r="55" spans="1:5" ht="18" x14ac:dyDescent="0.3">
      <c r="A55" s="26" t="s">
        <v>773</v>
      </c>
      <c r="B55" s="24"/>
      <c r="C55" s="24"/>
      <c r="D55" s="24"/>
      <c r="E55" s="24"/>
    </row>
    <row r="56" spans="1:5" x14ac:dyDescent="0.3">
      <c r="A56" s="27" t="s">
        <v>774</v>
      </c>
      <c r="B56" s="24"/>
      <c r="C56" s="24"/>
      <c r="D56" s="24"/>
      <c r="E56" s="24"/>
    </row>
    <row r="57" spans="1:5" x14ac:dyDescent="0.3">
      <c r="A57" s="24"/>
      <c r="B57" s="24"/>
      <c r="C57" s="24"/>
      <c r="D57" s="24"/>
      <c r="E57" s="24"/>
    </row>
    <row r="58" spans="1:5" ht="18" x14ac:dyDescent="0.3">
      <c r="A58" s="26" t="s">
        <v>775</v>
      </c>
      <c r="B58" s="24"/>
      <c r="C58" s="24"/>
      <c r="D58" s="24"/>
      <c r="E58" s="24"/>
    </row>
    <row r="59" spans="1:5" x14ac:dyDescent="0.3">
      <c r="A59" s="27" t="s">
        <v>776</v>
      </c>
      <c r="B59" s="24"/>
      <c r="C59" s="24"/>
      <c r="D59" s="24"/>
      <c r="E59" s="24"/>
    </row>
    <row r="60" spans="1:5" x14ac:dyDescent="0.3">
      <c r="A60" s="24"/>
      <c r="B60" s="24"/>
      <c r="C60" s="24"/>
      <c r="D60" s="24"/>
      <c r="E60" s="24"/>
    </row>
    <row r="61" spans="1:5" ht="18" x14ac:dyDescent="0.3">
      <c r="A61" s="26" t="s">
        <v>777</v>
      </c>
      <c r="B61" s="24"/>
      <c r="C61" s="24"/>
      <c r="D61" s="24"/>
      <c r="E61" s="24"/>
    </row>
    <row r="62" spans="1:5" x14ac:dyDescent="0.3">
      <c r="A62" s="27" t="s">
        <v>778</v>
      </c>
      <c r="B62" s="24"/>
      <c r="C62" s="24"/>
      <c r="D62" s="24"/>
      <c r="E62" s="24"/>
    </row>
    <row r="63" spans="1:5" x14ac:dyDescent="0.3">
      <c r="A63" s="24"/>
      <c r="B63" s="24"/>
      <c r="C63" s="24"/>
      <c r="D63" s="24"/>
      <c r="E63" s="24"/>
    </row>
  </sheetData>
  <pageMargins left="0.7" right="0.7" top="0.75" bottom="0.75" header="0.3" footer="0.3"/>
  <pageSetup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>
      <pane activePane="bottomRight" state="frozen"/>
      <selection activeCell="D28" sqref="D28"/>
    </sheetView>
  </sheetViews>
  <sheetFormatPr defaultRowHeight="14.4" x14ac:dyDescent="0.3"/>
  <cols>
    <col min="1" max="1" width="14.6640625" customWidth="1"/>
    <col min="2" max="2" width="105.6640625" style="5" customWidth="1"/>
    <col min="3" max="3" width="10.44140625" bestFit="1" customWidth="1"/>
    <col min="8" max="8" width="8.88671875" customWidth="1"/>
    <col min="9" max="9" width="0.88671875" customWidth="1"/>
  </cols>
  <sheetData>
    <row r="1" spans="1:3" ht="28.05" customHeight="1" x14ac:dyDescent="0.3">
      <c r="A1" t="s">
        <v>685</v>
      </c>
      <c r="B1" s="5" t="s">
        <v>699</v>
      </c>
      <c r="C1" s="17" t="s">
        <v>739</v>
      </c>
    </row>
    <row r="2" spans="1:3" x14ac:dyDescent="0.3">
      <c r="A2" t="s">
        <v>686</v>
      </c>
      <c r="B2" s="5" t="s">
        <v>700</v>
      </c>
      <c r="C2" t="s">
        <v>750</v>
      </c>
    </row>
    <row r="3" spans="1:3" x14ac:dyDescent="0.3">
      <c r="A3" t="s">
        <v>687</v>
      </c>
      <c r="B3" s="5" t="s">
        <v>701</v>
      </c>
      <c r="C3" t="s">
        <v>750</v>
      </c>
    </row>
    <row r="4" spans="1:3" x14ac:dyDescent="0.3">
      <c r="A4" t="s">
        <v>688</v>
      </c>
      <c r="B4" s="5" t="s">
        <v>702</v>
      </c>
      <c r="C4" t="s">
        <v>750</v>
      </c>
    </row>
    <row r="5" spans="1:3" x14ac:dyDescent="0.3">
      <c r="A5" t="s">
        <v>689</v>
      </c>
      <c r="B5" s="5" t="s">
        <v>703</v>
      </c>
      <c r="C5" t="s">
        <v>750</v>
      </c>
    </row>
    <row r="6" spans="1:3" x14ac:dyDescent="0.3">
      <c r="A6" t="s">
        <v>690</v>
      </c>
      <c r="B6" s="5" t="s">
        <v>704</v>
      </c>
      <c r="C6" t="s">
        <v>750</v>
      </c>
    </row>
    <row r="7" spans="1:3" x14ac:dyDescent="0.3">
      <c r="A7" t="s">
        <v>691</v>
      </c>
      <c r="B7" s="5" t="s">
        <v>705</v>
      </c>
      <c r="C7" t="s">
        <v>750</v>
      </c>
    </row>
    <row r="8" spans="1:3" x14ac:dyDescent="0.3">
      <c r="A8" t="s">
        <v>692</v>
      </c>
      <c r="B8" s="5" t="s">
        <v>706</v>
      </c>
      <c r="C8" t="s">
        <v>750</v>
      </c>
    </row>
    <row r="9" spans="1:3" x14ac:dyDescent="0.3">
      <c r="A9" t="s">
        <v>693</v>
      </c>
      <c r="B9" s="5" t="s">
        <v>707</v>
      </c>
      <c r="C9" t="s">
        <v>750</v>
      </c>
    </row>
    <row r="10" spans="1:3" x14ac:dyDescent="0.3">
      <c r="A10" t="s">
        <v>694</v>
      </c>
      <c r="B10" s="5" t="s">
        <v>708</v>
      </c>
      <c r="C10" t="s">
        <v>750</v>
      </c>
    </row>
    <row r="11" spans="1:3" x14ac:dyDescent="0.3">
      <c r="A11" t="s">
        <v>695</v>
      </c>
      <c r="B11" s="5" t="s">
        <v>709</v>
      </c>
      <c r="C11" t="s">
        <v>750</v>
      </c>
    </row>
    <row r="12" spans="1:3" x14ac:dyDescent="0.3">
      <c r="A12" t="s">
        <v>696</v>
      </c>
      <c r="B12" s="5" t="s">
        <v>710</v>
      </c>
      <c r="C12" t="s">
        <v>750</v>
      </c>
    </row>
    <row r="13" spans="1:3" x14ac:dyDescent="0.3">
      <c r="A13" t="s">
        <v>697</v>
      </c>
      <c r="B13" s="5" t="s">
        <v>711</v>
      </c>
      <c r="C13" t="s">
        <v>750</v>
      </c>
    </row>
    <row r="14" spans="1:3" x14ac:dyDescent="0.3">
      <c r="A14" t="s">
        <v>698</v>
      </c>
      <c r="B14" s="5" t="s">
        <v>712</v>
      </c>
      <c r="C14" t="s">
        <v>750</v>
      </c>
    </row>
    <row r="18" spans="1:4" x14ac:dyDescent="0.3">
      <c r="A18" s="12" t="s">
        <v>740</v>
      </c>
      <c r="B18" s="12" t="s">
        <v>739</v>
      </c>
    </row>
    <row r="19" spans="1:4" x14ac:dyDescent="0.3">
      <c r="A19" s="13" t="s">
        <v>741</v>
      </c>
      <c r="B19" s="13" t="s">
        <v>750</v>
      </c>
    </row>
    <row r="20" spans="1:4" x14ac:dyDescent="0.3">
      <c r="A20" s="13" t="s">
        <v>742</v>
      </c>
      <c r="B20" s="13" t="s">
        <v>750</v>
      </c>
    </row>
    <row r="21" spans="1:4" x14ac:dyDescent="0.3">
      <c r="A21" s="13" t="s">
        <v>743</v>
      </c>
      <c r="B21" s="13" t="s">
        <v>750</v>
      </c>
    </row>
    <row r="22" spans="1:4" ht="28.8" x14ac:dyDescent="0.3">
      <c r="A22" s="13" t="s">
        <v>744</v>
      </c>
      <c r="B22" s="13" t="s">
        <v>750</v>
      </c>
    </row>
    <row r="23" spans="1:4" x14ac:dyDescent="0.3">
      <c r="A23" s="13" t="s">
        <v>745</v>
      </c>
      <c r="B23" s="13" t="s">
        <v>750</v>
      </c>
    </row>
    <row r="24" spans="1:4" ht="34.950000000000003" customHeight="1" x14ac:dyDescent="0.3">
      <c r="A24" s="13" t="s">
        <v>746</v>
      </c>
      <c r="B24" s="13" t="s">
        <v>750</v>
      </c>
    </row>
    <row r="25" spans="1:4" x14ac:dyDescent="0.3">
      <c r="A25" s="13" t="s">
        <v>747</v>
      </c>
      <c r="B25" s="13" t="s">
        <v>750</v>
      </c>
    </row>
    <row r="26" spans="1:4" x14ac:dyDescent="0.3">
      <c r="A26" s="13" t="s">
        <v>748</v>
      </c>
      <c r="B26" s="13" t="s">
        <v>750</v>
      </c>
    </row>
    <row r="27" spans="1:4" x14ac:dyDescent="0.3">
      <c r="A27" s="13" t="s">
        <v>749</v>
      </c>
      <c r="B27" s="13" t="s">
        <v>750</v>
      </c>
    </row>
    <row r="28" spans="1:4" ht="31.2" customHeight="1" x14ac:dyDescent="0.3"/>
    <row r="29" spans="1:4" x14ac:dyDescent="0.3">
      <c r="A29" s="13" t="s">
        <v>751</v>
      </c>
      <c r="B29" s="18">
        <f>COUNTIF(B19:B27,"Done")/COUNTA(B19:B27)</f>
        <v>1</v>
      </c>
      <c r="D29" s="16"/>
    </row>
  </sheetData>
  <conditionalFormatting sqref="B19:B27">
    <cfRule type="containsText" dxfId="6" priority="8" operator="containsText" text="Not Started">
      <formula>NOT(ISERROR(SEARCH("Not Started",B19)))</formula>
    </cfRule>
    <cfRule type="containsText" dxfId="5" priority="9" operator="containsText" text="In Progress">
      <formula>NOT(ISERROR(SEARCH("In Progress",B19)))</formula>
    </cfRule>
    <cfRule type="containsText" dxfId="4" priority="10" operator="containsText" text="Done">
      <formula>NOT(ISERROR(SEARCH("Done",B19)))</formula>
    </cfRule>
  </conditionalFormatting>
  <conditionalFormatting sqref="B29">
    <cfRule type="dataBar" priority="5">
      <dataBar>
        <cfvo type="percent" val="0"/>
        <cfvo type="max"/>
        <color rgb="FF638EC6"/>
      </dataBar>
      <extLst>
        <ext xmlns:x14="http://schemas.microsoft.com/office/spreadsheetml/2009/9/main" uri="{B025F937-C7B1-47D3-B67F-A62EFF666E3E}">
          <x14:id>{A1618B20-27FF-462C-A826-B76B830F62D0}</x14:id>
        </ext>
      </extLst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{DA745925-A004-4612-9D26-E314A56D3D99}</x14:id>
        </ext>
      </extLst>
    </cfRule>
  </conditionalFormatting>
  <conditionalFormatting sqref="C2:C14">
    <cfRule type="containsText" dxfId="3" priority="2" operator="containsText" text="Not Started">
      <formula>NOT(ISERROR(SEARCH("Not Started",C2)))</formula>
    </cfRule>
    <cfRule type="containsText" dxfId="2" priority="3" operator="containsText" text="In Progress">
      <formula>NOT(ISERROR(SEARCH("In Progress",C2)))</formula>
    </cfRule>
    <cfRule type="containsText" dxfId="1" priority="4" operator="containsText" text="Done">
      <formula>NOT(ISERROR(SEARCH("Done",C2)))</formula>
    </cfRule>
  </conditionalFormatting>
  <dataValidations count="2">
    <dataValidation type="list" allowBlank="1" showInputMessage="1" showErrorMessage="1" sqref="B19:B27" xr:uid="{32EE2A37-7108-4E29-BF4D-15AA193388E2}">
      <formula1>"Not Started, In Progress, Done"</formula1>
    </dataValidation>
    <dataValidation type="list" allowBlank="1" showInputMessage="1" showErrorMessage="1" sqref="C2:C14" xr:uid="{836ECAC9-33A0-497F-BD10-5D303FB251A9}">
      <formula1>"Done,In Progress,Not Started"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618B20-27FF-462C-A826-B76B830F62D0}">
            <x14:dataBar minLength="0" maxLength="100" gradient="0">
              <x14:cfvo type="percent">
                <xm:f>0</xm:f>
              </x14:cfvo>
              <x14:cfvo type="autoMax"/>
              <x14:negativeFillColor rgb="FFFF0000"/>
              <x14:axisColor rgb="FF000000"/>
            </x14:dataBar>
          </x14:cfRule>
          <x14:cfRule type="dataBar" id="{DA745925-A004-4612-9D26-E314A56D3D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92633-A682-4D55-94F9-746EC4430BD1}">
  <dimension ref="A3:D16"/>
  <sheetViews>
    <sheetView workbookViewId="0">
      <selection activeCell="D15" sqref="D15"/>
    </sheetView>
  </sheetViews>
  <sheetFormatPr defaultRowHeight="14.4" x14ac:dyDescent="0.3"/>
  <cols>
    <col min="1" max="1" width="18.6640625" bestFit="1" customWidth="1"/>
    <col min="2" max="2" width="19.5546875" bestFit="1" customWidth="1"/>
    <col min="3" max="3" width="22.5546875" bestFit="1" customWidth="1"/>
    <col min="4" max="4" width="11.6640625" bestFit="1" customWidth="1"/>
  </cols>
  <sheetData>
    <row r="3" spans="1:4" x14ac:dyDescent="0.3">
      <c r="A3" s="9" t="s">
        <v>732</v>
      </c>
      <c r="B3" t="s">
        <v>734</v>
      </c>
      <c r="C3" t="s">
        <v>735</v>
      </c>
      <c r="D3" t="s">
        <v>737</v>
      </c>
    </row>
    <row r="4" spans="1:4" x14ac:dyDescent="0.3">
      <c r="A4" s="10" t="s">
        <v>636</v>
      </c>
      <c r="B4">
        <v>33920.25</v>
      </c>
      <c r="C4">
        <v>11420.25</v>
      </c>
      <c r="D4" s="8">
        <f>C4/B4</f>
        <v>0.33667941716231453</v>
      </c>
    </row>
    <row r="5" spans="1:4" x14ac:dyDescent="0.3">
      <c r="A5" s="10" t="s">
        <v>637</v>
      </c>
      <c r="B5">
        <v>27431.25</v>
      </c>
      <c r="C5">
        <v>10001.25</v>
      </c>
      <c r="D5" s="8">
        <f t="shared" ref="D5:D16" si="0">C5/B5</f>
        <v>0.36459330143540669</v>
      </c>
    </row>
    <row r="6" spans="1:4" x14ac:dyDescent="0.3">
      <c r="A6" s="10" t="s">
        <v>633</v>
      </c>
      <c r="B6">
        <v>17598</v>
      </c>
      <c r="C6">
        <v>6473</v>
      </c>
      <c r="D6" s="8">
        <f t="shared" si="0"/>
        <v>0.36782588930560289</v>
      </c>
    </row>
    <row r="7" spans="1:4" x14ac:dyDescent="0.3">
      <c r="A7" s="10" t="s">
        <v>631</v>
      </c>
      <c r="B7">
        <v>13986.75</v>
      </c>
      <c r="C7">
        <v>6242.75</v>
      </c>
      <c r="D7" s="8">
        <f t="shared" si="0"/>
        <v>0.44633313671868019</v>
      </c>
    </row>
    <row r="8" spans="1:4" x14ac:dyDescent="0.3">
      <c r="A8" s="10" t="s">
        <v>629</v>
      </c>
      <c r="B8">
        <v>10014.199999999999</v>
      </c>
      <c r="C8">
        <v>3972.2000000000007</v>
      </c>
      <c r="D8" s="8">
        <f t="shared" si="0"/>
        <v>0.39665674741866563</v>
      </c>
    </row>
    <row r="9" spans="1:4" x14ac:dyDescent="0.3">
      <c r="A9" s="10" t="s">
        <v>634</v>
      </c>
      <c r="B9">
        <v>8496</v>
      </c>
      <c r="C9">
        <v>3816.0000000000005</v>
      </c>
      <c r="D9" s="8">
        <f t="shared" si="0"/>
        <v>0.44915254237288144</v>
      </c>
    </row>
    <row r="10" spans="1:4" x14ac:dyDescent="0.3">
      <c r="A10" s="10" t="s">
        <v>635</v>
      </c>
      <c r="B10">
        <v>8414.25</v>
      </c>
      <c r="C10">
        <v>4136.25</v>
      </c>
      <c r="D10" s="8">
        <f t="shared" si="0"/>
        <v>0.49157678937516713</v>
      </c>
    </row>
    <row r="11" spans="1:4" x14ac:dyDescent="0.3">
      <c r="A11" s="10" t="s">
        <v>630</v>
      </c>
      <c r="B11">
        <v>7538.7000000000007</v>
      </c>
      <c r="C11">
        <v>2858.7000000000003</v>
      </c>
      <c r="D11" s="8">
        <f t="shared" si="0"/>
        <v>0.37920331091567511</v>
      </c>
    </row>
    <row r="12" spans="1:4" x14ac:dyDescent="0.3">
      <c r="A12" s="10" t="s">
        <v>632</v>
      </c>
      <c r="B12">
        <v>6885.9</v>
      </c>
      <c r="C12">
        <v>3231.8999999999996</v>
      </c>
      <c r="D12" s="8">
        <f t="shared" si="0"/>
        <v>0.46935041171088743</v>
      </c>
    </row>
    <row r="13" spans="1:4" x14ac:dyDescent="0.3">
      <c r="A13" s="10" t="s">
        <v>626</v>
      </c>
      <c r="B13">
        <v>5282.9999999999991</v>
      </c>
      <c r="C13">
        <v>2786.9999999999995</v>
      </c>
      <c r="D13" s="8">
        <f t="shared" si="0"/>
        <v>0.52754116978989207</v>
      </c>
    </row>
    <row r="14" spans="1:4" x14ac:dyDescent="0.3">
      <c r="A14" s="10" t="s">
        <v>627</v>
      </c>
      <c r="B14">
        <v>5209.8</v>
      </c>
      <c r="C14">
        <v>2727.7999999999997</v>
      </c>
      <c r="D14" s="8">
        <f t="shared" si="0"/>
        <v>0.52359015701178546</v>
      </c>
    </row>
    <row r="15" spans="1:4" x14ac:dyDescent="0.3">
      <c r="A15" s="10" t="s">
        <v>628</v>
      </c>
      <c r="B15">
        <v>2240.9999999999995</v>
      </c>
      <c r="C15">
        <v>1330.9999999999998</v>
      </c>
      <c r="D15" s="8">
        <f t="shared" si="0"/>
        <v>0.59393128067826861</v>
      </c>
    </row>
    <row r="16" spans="1:4" x14ac:dyDescent="0.3">
      <c r="A16" s="10" t="s">
        <v>733</v>
      </c>
      <c r="B16">
        <v>147019.1</v>
      </c>
      <c r="C16">
        <v>58998.1</v>
      </c>
      <c r="D16" s="8">
        <f t="shared" si="0"/>
        <v>0.40129547793449966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AA8A-F450-4427-B4AA-031761614C09}">
  <dimension ref="A3:D13"/>
  <sheetViews>
    <sheetView workbookViewId="0">
      <selection activeCell="D15" sqref="D15"/>
    </sheetView>
  </sheetViews>
  <sheetFormatPr defaultRowHeight="14.4" x14ac:dyDescent="0.3"/>
  <cols>
    <col min="1" max="1" width="18.44140625" bestFit="1" customWidth="1"/>
    <col min="2" max="2" width="19.5546875" bestFit="1" customWidth="1"/>
    <col min="3" max="3" width="22.5546875" bestFit="1" customWidth="1"/>
    <col min="4" max="4" width="18.6640625" bestFit="1" customWidth="1"/>
  </cols>
  <sheetData>
    <row r="3" spans="1:4" x14ac:dyDescent="0.3">
      <c r="A3" s="9" t="s">
        <v>732</v>
      </c>
      <c r="B3" t="s">
        <v>734</v>
      </c>
    </row>
    <row r="4" spans="1:4" x14ac:dyDescent="0.3">
      <c r="A4" s="10" t="s">
        <v>614</v>
      </c>
      <c r="B4">
        <v>19511.05</v>
      </c>
    </row>
    <row r="5" spans="1:4" x14ac:dyDescent="0.3">
      <c r="A5" s="10" t="s">
        <v>615</v>
      </c>
      <c r="B5">
        <v>14616</v>
      </c>
    </row>
    <row r="6" spans="1:4" x14ac:dyDescent="0.3">
      <c r="A6" s="10" t="s">
        <v>617</v>
      </c>
      <c r="B6">
        <v>15601.1</v>
      </c>
    </row>
    <row r="7" spans="1:4" x14ac:dyDescent="0.3">
      <c r="A7" s="10" t="s">
        <v>608</v>
      </c>
      <c r="B7">
        <v>17289</v>
      </c>
    </row>
    <row r="8" spans="1:4" x14ac:dyDescent="0.3">
      <c r="A8" s="10" t="s">
        <v>613</v>
      </c>
      <c r="B8">
        <v>21326.350000000002</v>
      </c>
    </row>
    <row r="9" spans="1:4" x14ac:dyDescent="0.3">
      <c r="A9" s="10" t="s">
        <v>610</v>
      </c>
      <c r="B9">
        <v>24443.250000000004</v>
      </c>
    </row>
    <row r="10" spans="1:4" x14ac:dyDescent="0.3">
      <c r="A10" s="10" t="s">
        <v>612</v>
      </c>
      <c r="B10">
        <v>15647.9</v>
      </c>
    </row>
    <row r="11" spans="1:4" x14ac:dyDescent="0.3">
      <c r="A11" s="10" t="s">
        <v>623</v>
      </c>
      <c r="B11">
        <v>17255.749999999996</v>
      </c>
    </row>
    <row r="12" spans="1:4" x14ac:dyDescent="0.3">
      <c r="A12" s="10" t="s">
        <v>717</v>
      </c>
      <c r="B12">
        <v>1328.7</v>
      </c>
    </row>
    <row r="13" spans="1:4" x14ac:dyDescent="0.3">
      <c r="A13" s="10" t="s">
        <v>733</v>
      </c>
      <c r="B13">
        <v>147019.1</v>
      </c>
      <c r="D13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520F-10B8-4688-8A6A-4C63B3E3D310}">
  <dimension ref="A3:D18"/>
  <sheetViews>
    <sheetView workbookViewId="0">
      <selection activeCell="D15" sqref="D15"/>
    </sheetView>
  </sheetViews>
  <sheetFormatPr defaultRowHeight="14.4" x14ac:dyDescent="0.3"/>
  <cols>
    <col min="1" max="1" width="12.5546875" bestFit="1" customWidth="1"/>
    <col min="2" max="2" width="19.5546875" bestFit="1" customWidth="1"/>
    <col min="3" max="3" width="22.5546875" bestFit="1" customWidth="1"/>
    <col min="4" max="4" width="18.6640625" bestFit="1" customWidth="1"/>
  </cols>
  <sheetData>
    <row r="3" spans="1:3" x14ac:dyDescent="0.3">
      <c r="A3" s="9" t="s">
        <v>732</v>
      </c>
      <c r="B3" t="s">
        <v>734</v>
      </c>
      <c r="C3" t="s">
        <v>735</v>
      </c>
    </row>
    <row r="4" spans="1:3" x14ac:dyDescent="0.3">
      <c r="A4" s="10" t="s">
        <v>639</v>
      </c>
      <c r="B4">
        <v>22750.949999999993</v>
      </c>
      <c r="C4">
        <v>11426.95</v>
      </c>
    </row>
    <row r="5" spans="1:3" x14ac:dyDescent="0.3">
      <c r="A5" s="10" t="s">
        <v>641</v>
      </c>
      <c r="B5">
        <v>83834.250000000015</v>
      </c>
      <c r="C5">
        <v>31480.249999999996</v>
      </c>
    </row>
    <row r="6" spans="1:3" x14ac:dyDescent="0.3">
      <c r="A6" s="10" t="s">
        <v>638</v>
      </c>
      <c r="B6">
        <v>22881.000000000007</v>
      </c>
      <c r="C6">
        <v>9259.9999999999982</v>
      </c>
    </row>
    <row r="7" spans="1:3" x14ac:dyDescent="0.3">
      <c r="A7" s="10" t="s">
        <v>640</v>
      </c>
      <c r="B7">
        <v>17552.899999999994</v>
      </c>
      <c r="C7">
        <v>6830.9000000000005</v>
      </c>
    </row>
    <row r="8" spans="1:3" x14ac:dyDescent="0.3">
      <c r="A8" s="10" t="s">
        <v>733</v>
      </c>
      <c r="B8">
        <v>147019.1</v>
      </c>
      <c r="C8">
        <v>58998.1</v>
      </c>
    </row>
    <row r="12" spans="1:3" x14ac:dyDescent="0.3">
      <c r="A12" s="9" t="s">
        <v>732</v>
      </c>
      <c r="B12" t="s">
        <v>738</v>
      </c>
    </row>
    <row r="13" spans="1:3" x14ac:dyDescent="0.3">
      <c r="A13" s="10" t="s">
        <v>639</v>
      </c>
      <c r="B13" s="8">
        <v>0.5022625428828249</v>
      </c>
    </row>
    <row r="14" spans="1:3" x14ac:dyDescent="0.3">
      <c r="A14" s="10" t="s">
        <v>641</v>
      </c>
      <c r="B14" s="8">
        <v>0.37550583442924568</v>
      </c>
    </row>
    <row r="15" spans="1:3" x14ac:dyDescent="0.3">
      <c r="A15" s="10" t="s">
        <v>638</v>
      </c>
      <c r="B15" s="8">
        <v>0.40470259166994427</v>
      </c>
    </row>
    <row r="16" spans="1:3" x14ac:dyDescent="0.3">
      <c r="A16" s="10" t="s">
        <v>640</v>
      </c>
      <c r="B16" s="8">
        <v>0.3891607654575599</v>
      </c>
    </row>
    <row r="17" spans="1:4" x14ac:dyDescent="0.3">
      <c r="A17" s="10" t="s">
        <v>733</v>
      </c>
      <c r="B17" s="8">
        <v>0.40129547793449993</v>
      </c>
    </row>
    <row r="18" spans="1:4" x14ac:dyDescent="0.3">
      <c r="A18" s="11"/>
      <c r="B18" s="14"/>
      <c r="C18" s="14"/>
      <c r="D18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36981-02B5-4CD4-BBE0-BD37D7439670}">
  <dimension ref="A3:C17"/>
  <sheetViews>
    <sheetView workbookViewId="0">
      <selection activeCell="D15" sqref="D15"/>
    </sheetView>
  </sheetViews>
  <sheetFormatPr defaultRowHeight="14.4" x14ac:dyDescent="0.3"/>
  <cols>
    <col min="1" max="1" width="12.5546875" bestFit="1" customWidth="1"/>
    <col min="2" max="2" width="19.5546875" bestFit="1" customWidth="1"/>
    <col min="3" max="3" width="22.5546875" bestFit="1" customWidth="1"/>
  </cols>
  <sheetData>
    <row r="3" spans="1:3" x14ac:dyDescent="0.3">
      <c r="A3" s="9" t="s">
        <v>732</v>
      </c>
      <c r="B3" t="s">
        <v>734</v>
      </c>
      <c r="C3" t="s">
        <v>735</v>
      </c>
    </row>
    <row r="4" spans="1:3" x14ac:dyDescent="0.3">
      <c r="A4" s="10" t="s">
        <v>764</v>
      </c>
      <c r="B4">
        <v>147019.1</v>
      </c>
      <c r="C4">
        <v>58998.100000000006</v>
      </c>
    </row>
    <row r="5" spans="1:3" x14ac:dyDescent="0.3">
      <c r="A5" s="19" t="s">
        <v>752</v>
      </c>
      <c r="B5">
        <v>8896.65</v>
      </c>
      <c r="C5">
        <v>3504.65</v>
      </c>
    </row>
    <row r="6" spans="1:3" x14ac:dyDescent="0.3">
      <c r="A6" s="19" t="s">
        <v>753</v>
      </c>
      <c r="B6">
        <v>6599.5</v>
      </c>
      <c r="C6">
        <v>2987.4999999999995</v>
      </c>
    </row>
    <row r="7" spans="1:3" x14ac:dyDescent="0.3">
      <c r="A7" s="19" t="s">
        <v>754</v>
      </c>
      <c r="B7">
        <v>12881.55</v>
      </c>
      <c r="C7">
        <v>5040.55</v>
      </c>
    </row>
    <row r="8" spans="1:3" x14ac:dyDescent="0.3">
      <c r="A8" s="19" t="s">
        <v>755</v>
      </c>
      <c r="B8">
        <v>16177.349999999999</v>
      </c>
      <c r="C8">
        <v>6337.35</v>
      </c>
    </row>
    <row r="9" spans="1:3" x14ac:dyDescent="0.3">
      <c r="A9" s="19" t="s">
        <v>756</v>
      </c>
      <c r="B9">
        <v>12989.750000000002</v>
      </c>
      <c r="C9">
        <v>5413.7499999999991</v>
      </c>
    </row>
    <row r="10" spans="1:3" x14ac:dyDescent="0.3">
      <c r="A10" s="19" t="s">
        <v>757</v>
      </c>
      <c r="B10">
        <v>12847.400000000001</v>
      </c>
      <c r="C10">
        <v>5248.4</v>
      </c>
    </row>
    <row r="11" spans="1:3" x14ac:dyDescent="0.3">
      <c r="A11" s="19" t="s">
        <v>758</v>
      </c>
      <c r="B11">
        <v>11353.949999999999</v>
      </c>
      <c r="C11">
        <v>4496.9500000000007</v>
      </c>
    </row>
    <row r="12" spans="1:3" x14ac:dyDescent="0.3">
      <c r="A12" s="19" t="s">
        <v>759</v>
      </c>
      <c r="B12">
        <v>14305.050000000001</v>
      </c>
      <c r="C12">
        <v>5677.0499999999993</v>
      </c>
    </row>
    <row r="13" spans="1:3" x14ac:dyDescent="0.3">
      <c r="A13" s="19" t="s">
        <v>760</v>
      </c>
      <c r="B13">
        <v>10804.6</v>
      </c>
      <c r="C13">
        <v>4532.6000000000004</v>
      </c>
    </row>
    <row r="14" spans="1:3" x14ac:dyDescent="0.3">
      <c r="A14" s="19" t="s">
        <v>761</v>
      </c>
      <c r="B14">
        <v>12654.500000000002</v>
      </c>
      <c r="C14">
        <v>4841.5</v>
      </c>
    </row>
    <row r="15" spans="1:3" x14ac:dyDescent="0.3">
      <c r="A15" s="19" t="s">
        <v>762</v>
      </c>
      <c r="B15">
        <v>17111.2</v>
      </c>
      <c r="C15">
        <v>6660.2</v>
      </c>
    </row>
    <row r="16" spans="1:3" x14ac:dyDescent="0.3">
      <c r="A16" s="19" t="s">
        <v>763</v>
      </c>
      <c r="B16">
        <v>10397.599999999999</v>
      </c>
      <c r="C16">
        <v>4257.6000000000004</v>
      </c>
    </row>
    <row r="17" spans="1:3" x14ac:dyDescent="0.3">
      <c r="A17" s="10" t="s">
        <v>733</v>
      </c>
      <c r="B17">
        <v>147019.1</v>
      </c>
      <c r="C17">
        <v>58998.100000000006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F9CC-0495-42AF-873D-5CF38C118DF9}">
  <dimension ref="A1:V551"/>
  <sheetViews>
    <sheetView topLeftCell="L1" workbookViewId="0">
      <selection activeCell="D15" sqref="D15"/>
    </sheetView>
  </sheetViews>
  <sheetFormatPr defaultRowHeight="14.4" x14ac:dyDescent="0.3"/>
  <cols>
    <col min="1" max="1" width="13" bestFit="1" customWidth="1"/>
    <col min="2" max="2" width="18.109375" bestFit="1" customWidth="1"/>
    <col min="3" max="3" width="19.6640625" bestFit="1" customWidth="1"/>
    <col min="4" max="4" width="25.44140625" bestFit="1" customWidth="1"/>
    <col min="5" max="5" width="18.44140625" bestFit="1" customWidth="1"/>
    <col min="6" max="6" width="18.44140625" customWidth="1"/>
    <col min="7" max="7" width="18.6640625" bestFit="1" customWidth="1"/>
    <col min="8" max="8" width="13" bestFit="1" customWidth="1"/>
    <col min="9" max="9" width="12.77734375" bestFit="1" customWidth="1"/>
    <col min="10" max="10" width="18.77734375" bestFit="1" customWidth="1"/>
    <col min="11" max="11" width="18.33203125" bestFit="1" customWidth="1"/>
    <col min="12" max="12" width="12.77734375" bestFit="1" customWidth="1"/>
    <col min="13" max="13" width="20.88671875" bestFit="1" customWidth="1"/>
    <col min="14" max="14" width="26.5546875" bestFit="1" customWidth="1"/>
    <col min="15" max="15" width="16.44140625" bestFit="1" customWidth="1"/>
    <col min="16" max="16" width="22.33203125" bestFit="1" customWidth="1"/>
    <col min="17" max="17" width="22.33203125" customWidth="1"/>
    <col min="18" max="18" width="27.77734375" bestFit="1" customWidth="1"/>
    <col min="19" max="19" width="12.88671875" bestFit="1" customWidth="1"/>
    <col min="20" max="20" width="9.21875" bestFit="1" customWidth="1"/>
    <col min="21" max="21" width="15.88671875" bestFit="1" customWidth="1"/>
    <col min="22" max="22" width="12.6640625" style="8" bestFit="1" customWidth="1"/>
  </cols>
  <sheetData>
    <row r="1" spans="1:22" x14ac:dyDescent="0.3">
      <c r="A1" s="3" t="s">
        <v>0</v>
      </c>
      <c r="B1" s="3" t="s">
        <v>1</v>
      </c>
      <c r="C1" s="3" t="s">
        <v>2</v>
      </c>
      <c r="D1" s="3" t="s">
        <v>714</v>
      </c>
      <c r="E1" s="3" t="s">
        <v>3</v>
      </c>
      <c r="F1" s="3" t="s">
        <v>713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715</v>
      </c>
      <c r="O1" s="3" t="s">
        <v>11</v>
      </c>
      <c r="P1" s="3" t="s">
        <v>716</v>
      </c>
      <c r="Q1" s="3" t="s">
        <v>718</v>
      </c>
      <c r="R1" s="3" t="s">
        <v>12</v>
      </c>
      <c r="S1" s="6" t="s">
        <v>720</v>
      </c>
      <c r="T1" s="6" t="s">
        <v>721</v>
      </c>
      <c r="U1" s="6" t="s">
        <v>722</v>
      </c>
      <c r="V1" s="7" t="s">
        <v>723</v>
      </c>
    </row>
    <row r="2" spans="1:22" x14ac:dyDescent="0.3">
      <c r="A2" t="s">
        <v>13</v>
      </c>
      <c r="B2" s="4">
        <v>45735</v>
      </c>
      <c r="C2" t="s">
        <v>563</v>
      </c>
      <c r="D2" t="str">
        <f>PROPER(TRIM(C2))</f>
        <v>Liam Miller</v>
      </c>
      <c r="E2" t="s">
        <v>599</v>
      </c>
      <c r="F2" t="str">
        <f>IF(OR(UPPER(TRIM(E2))="AUS",UPPER(TRIM(E2))="AUSTRALIA"),"Australia",IF(OR(UPPER(TRIM(E2))="CAN",UPPER(TRIM(E2))="CANADA"),"Canada",IF(OR(UPPER(TRIM(E2))="DE",UPPER(TRIM(E2))="GERMANY"),"Germany",IF(OR(UPPER(TRIM(E2))="IN",UPPER(TRIM(E2))="INDIA"),"India",IF(OR(UPPER(TRIM(E2))="US",UPPER(TRIM(E2))="USA",UPPER(TRIM(E2))="UNITED STATES"),"United States",IF(OR(UPPER(TRIM(E2))="UK",UPPER(TRIM(E2))="U.K.",UPPER(TRIM(E2))="UNITED KINGDOM"),"United Kingdom",IF(OR(UPPER(TRIM(E2))="UAE",UPPER(TRIM(E2))="U.A.E.",UPPER(TRIM(E2))="UNITED ARAB EMIRATES"),"United Arab Emirates",IF(OR(UPPER(TRIM(E2))="SG",UPPER(TRIM(E2))="SINGAPORE"),"Singapore",TRIM(E2)))))))))</f>
        <v>United Arab Emirates</v>
      </c>
      <c r="G2" t="s">
        <v>626</v>
      </c>
      <c r="H2" t="s">
        <v>638</v>
      </c>
      <c r="I2">
        <v>3</v>
      </c>
      <c r="J2" s="1">
        <v>36</v>
      </c>
      <c r="K2" s="1">
        <v>16</v>
      </c>
      <c r="L2" s="2">
        <v>0</v>
      </c>
      <c r="M2" t="s">
        <v>642</v>
      </c>
      <c r="N2" t="s">
        <v>644</v>
      </c>
      <c r="O2" t="s">
        <v>648</v>
      </c>
      <c r="P2" t="str">
        <f>PROPER(TRIM(O2))</f>
        <v>Completed</v>
      </c>
      <c r="Q2" t="str">
        <f>IF(TRIM(R2)="","Missing",IF(AND(ISNUMBER(SEARCH("@",R2)),ISNUMBER(SEARCH(".",R2,SEARCH("@",R2)+2))),"Valid","Invalid"))</f>
        <v>Valid</v>
      </c>
      <c r="R2" t="s">
        <v>656</v>
      </c>
      <c r="S2">
        <f>I2*J2*(1-L2)</f>
        <v>108</v>
      </c>
      <c r="T2">
        <f>I2*K2</f>
        <v>48</v>
      </c>
      <c r="U2">
        <f>S2-T2</f>
        <v>60</v>
      </c>
      <c r="V2" s="8">
        <f>IF(S2=0,0,U2/S2)</f>
        <v>0.55555555555555558</v>
      </c>
    </row>
    <row r="3" spans="1:22" x14ac:dyDescent="0.3">
      <c r="A3" t="s">
        <v>14</v>
      </c>
      <c r="B3" s="4">
        <v>45894</v>
      </c>
      <c r="C3" t="s">
        <v>564</v>
      </c>
      <c r="D3" t="str">
        <f>PROPER(TRIM(C3))</f>
        <v>Ava Thomas</v>
      </c>
      <c r="E3" t="s">
        <v>599</v>
      </c>
      <c r="F3" t="str">
        <f t="shared" ref="F3:F66" si="0">IF(OR(UPPER(TRIM(E3))="AUS",UPPER(TRIM(E3))="AUSTRALIA"),"Australia",IF(OR(UPPER(TRIM(E3))="CAN",UPPER(TRIM(E3))="CANADA"),"Canada",IF(OR(UPPER(TRIM(E3))="DE",UPPER(TRIM(E3))="GERMANY"),"Germany",IF(OR(UPPER(TRIM(E3))="IN",UPPER(TRIM(E3))="INDIA"),"India",IF(OR(UPPER(TRIM(E3))="US",UPPER(TRIM(E3))="USA",UPPER(TRIM(E3))="UNITED STATES"),"United States",IF(OR(UPPER(TRIM(E3))="UK",UPPER(TRIM(E3))="U.K.",UPPER(TRIM(E3))="UNITED KINGDOM"),"United Kingdom",IF(OR(UPPER(TRIM(E3))="UAE",UPPER(TRIM(E3))="U.A.E.",UPPER(TRIM(E3))="UNITED ARAB EMIRATES"),"United Arab Emirates",IF(OR(UPPER(TRIM(E3))="SG",UPPER(TRIM(E3))="SINGAPORE"),"Singapore",TRIM(E3)))))))))</f>
        <v>United Arab Emirates</v>
      </c>
      <c r="G3" t="s">
        <v>627</v>
      </c>
      <c r="H3" t="s">
        <v>639</v>
      </c>
      <c r="I3">
        <v>4</v>
      </c>
      <c r="J3" s="1">
        <v>38</v>
      </c>
      <c r="K3" s="1">
        <v>17</v>
      </c>
      <c r="L3" s="2">
        <v>0</v>
      </c>
      <c r="M3" t="s">
        <v>643</v>
      </c>
      <c r="N3" t="str">
        <f t="shared" ref="N3:N66" si="1">PROPER(TRIM(M3))</f>
        <v>Credit Card</v>
      </c>
      <c r="O3" t="s">
        <v>648</v>
      </c>
      <c r="P3" t="str">
        <f t="shared" ref="P3:P66" si="2">PROPER(TRIM(O3))</f>
        <v>Completed</v>
      </c>
      <c r="Q3" t="str">
        <f t="shared" ref="Q3:Q66" si="3">IF(TRIM(R3)="","Missing",IF(AND(ISNUMBER(SEARCH("@",R3)),ISNUMBER(SEARCH(".",R3,SEARCH("@",R3)+2))),"Valid","Invalid"))</f>
        <v>Valid</v>
      </c>
      <c r="R3" t="s">
        <v>657</v>
      </c>
      <c r="S3">
        <f t="shared" ref="S3:S66" si="4">I3*J3*(1-L3)</f>
        <v>152</v>
      </c>
      <c r="T3">
        <f t="shared" ref="T3:T66" si="5">I3*K3</f>
        <v>68</v>
      </c>
      <c r="U3">
        <f t="shared" ref="U3:U66" si="6">S3-T3</f>
        <v>84</v>
      </c>
      <c r="V3" s="8">
        <f t="shared" ref="V3:V66" si="7">IF(S3=0,0,U3/S3)</f>
        <v>0.55263157894736847</v>
      </c>
    </row>
    <row r="4" spans="1:22" x14ac:dyDescent="0.3">
      <c r="A4" t="s">
        <v>15</v>
      </c>
      <c r="B4" s="4">
        <v>45777</v>
      </c>
      <c r="C4" t="s">
        <v>565</v>
      </c>
      <c r="D4" t="str">
        <f t="shared" ref="D4:D66" si="8">PROPER(TRIM(C4))</f>
        <v>Alex Morgan</v>
      </c>
      <c r="E4" t="s">
        <v>600</v>
      </c>
      <c r="F4" t="str">
        <f t="shared" si="0"/>
        <v>Australia</v>
      </c>
      <c r="G4" t="s">
        <v>628</v>
      </c>
      <c r="H4" t="s">
        <v>639</v>
      </c>
      <c r="I4">
        <v>1</v>
      </c>
      <c r="J4" s="1">
        <v>18</v>
      </c>
      <c r="K4" s="1">
        <v>7</v>
      </c>
      <c r="L4" s="2">
        <v>0.05</v>
      </c>
      <c r="M4" t="s">
        <v>644</v>
      </c>
      <c r="N4" t="s">
        <v>644</v>
      </c>
      <c r="O4" t="s">
        <v>648</v>
      </c>
      <c r="P4" t="str">
        <f t="shared" si="2"/>
        <v>Completed</v>
      </c>
      <c r="Q4" t="str">
        <f t="shared" si="3"/>
        <v>Valid</v>
      </c>
      <c r="R4" t="s">
        <v>658</v>
      </c>
      <c r="S4">
        <f t="shared" si="4"/>
        <v>17.099999999999998</v>
      </c>
      <c r="T4">
        <f t="shared" si="5"/>
        <v>7</v>
      </c>
      <c r="U4">
        <f t="shared" si="6"/>
        <v>10.099999999999998</v>
      </c>
      <c r="V4" s="8">
        <f t="shared" si="7"/>
        <v>0.59064327485380108</v>
      </c>
    </row>
    <row r="5" spans="1:22" x14ac:dyDescent="0.3">
      <c r="A5" t="s">
        <v>16</v>
      </c>
      <c r="B5" s="4">
        <v>45834</v>
      </c>
      <c r="C5" t="s">
        <v>563</v>
      </c>
      <c r="D5" t="str">
        <f t="shared" si="8"/>
        <v>Liam Miller</v>
      </c>
      <c r="E5" t="s">
        <v>601</v>
      </c>
      <c r="F5" t="str">
        <f t="shared" si="0"/>
        <v>United Kingdom</v>
      </c>
      <c r="G5" t="s">
        <v>629</v>
      </c>
      <c r="H5" t="s">
        <v>640</v>
      </c>
      <c r="I5">
        <v>1</v>
      </c>
      <c r="J5" s="1">
        <v>92</v>
      </c>
      <c r="K5" s="1">
        <v>53</v>
      </c>
      <c r="L5" s="2">
        <v>0</v>
      </c>
      <c r="M5" t="s">
        <v>643</v>
      </c>
      <c r="N5" t="str">
        <f t="shared" si="1"/>
        <v>Credit Card</v>
      </c>
      <c r="O5" t="s">
        <v>648</v>
      </c>
      <c r="P5" t="str">
        <f t="shared" si="2"/>
        <v>Completed</v>
      </c>
      <c r="Q5" t="str">
        <f t="shared" si="3"/>
        <v>Valid</v>
      </c>
      <c r="R5" t="s">
        <v>656</v>
      </c>
      <c r="S5">
        <f t="shared" si="4"/>
        <v>92</v>
      </c>
      <c r="T5">
        <f t="shared" si="5"/>
        <v>53</v>
      </c>
      <c r="U5">
        <f t="shared" si="6"/>
        <v>39</v>
      </c>
      <c r="V5" s="8">
        <f t="shared" si="7"/>
        <v>0.42391304347826086</v>
      </c>
    </row>
    <row r="6" spans="1:22" x14ac:dyDescent="0.3">
      <c r="A6" t="s">
        <v>17</v>
      </c>
      <c r="B6" s="4">
        <v>46000</v>
      </c>
      <c r="C6" t="s">
        <v>566</v>
      </c>
      <c r="D6" t="str">
        <f t="shared" si="8"/>
        <v>Lily Hall</v>
      </c>
      <c r="E6" t="s">
        <v>602</v>
      </c>
      <c r="F6" t="str">
        <f t="shared" si="0"/>
        <v>Australia</v>
      </c>
      <c r="G6" t="s">
        <v>629</v>
      </c>
      <c r="H6" t="s">
        <v>640</v>
      </c>
      <c r="I6">
        <v>1</v>
      </c>
      <c r="J6" s="1">
        <v>92</v>
      </c>
      <c r="K6" s="1">
        <v>53</v>
      </c>
      <c r="L6" s="2">
        <v>0.05</v>
      </c>
      <c r="M6" t="s">
        <v>645</v>
      </c>
      <c r="N6" t="str">
        <f t="shared" si="1"/>
        <v>Bank Transfer</v>
      </c>
      <c r="O6" t="s">
        <v>649</v>
      </c>
      <c r="P6" t="str">
        <f t="shared" si="2"/>
        <v>Pending</v>
      </c>
      <c r="Q6" t="str">
        <f t="shared" si="3"/>
        <v>Valid</v>
      </c>
      <c r="R6" t="s">
        <v>659</v>
      </c>
      <c r="S6">
        <f t="shared" si="4"/>
        <v>87.399999999999991</v>
      </c>
      <c r="T6">
        <f t="shared" si="5"/>
        <v>53</v>
      </c>
      <c r="U6">
        <f t="shared" si="6"/>
        <v>34.399999999999991</v>
      </c>
      <c r="V6" s="8">
        <f t="shared" si="7"/>
        <v>0.39359267734553771</v>
      </c>
    </row>
    <row r="7" spans="1:22" x14ac:dyDescent="0.3">
      <c r="A7" t="s">
        <v>18</v>
      </c>
      <c r="B7" s="4">
        <v>45764</v>
      </c>
      <c r="C7" t="s">
        <v>567</v>
      </c>
      <c r="D7" t="str">
        <f t="shared" si="8"/>
        <v>Sophia Taylor</v>
      </c>
      <c r="E7" t="s">
        <v>603</v>
      </c>
      <c r="F7" t="str">
        <f t="shared" si="0"/>
        <v>Germany</v>
      </c>
      <c r="G7" t="s">
        <v>630</v>
      </c>
      <c r="H7" t="s">
        <v>640</v>
      </c>
      <c r="I7">
        <v>5</v>
      </c>
      <c r="J7" s="1">
        <v>78</v>
      </c>
      <c r="K7" s="1">
        <v>45</v>
      </c>
      <c r="L7" s="2">
        <v>0.1</v>
      </c>
      <c r="M7" t="s">
        <v>646</v>
      </c>
      <c r="N7" t="str">
        <f t="shared" si="1"/>
        <v>Debit Card</v>
      </c>
      <c r="O7" t="s">
        <v>648</v>
      </c>
      <c r="P7" t="str">
        <f t="shared" si="2"/>
        <v>Completed</v>
      </c>
      <c r="Q7" t="str">
        <f t="shared" si="3"/>
        <v>Valid</v>
      </c>
      <c r="R7" t="s">
        <v>660</v>
      </c>
      <c r="S7">
        <f t="shared" si="4"/>
        <v>351</v>
      </c>
      <c r="T7">
        <f t="shared" si="5"/>
        <v>225</v>
      </c>
      <c r="U7">
        <f t="shared" si="6"/>
        <v>126</v>
      </c>
      <c r="V7" s="8">
        <f t="shared" si="7"/>
        <v>0.35897435897435898</v>
      </c>
    </row>
    <row r="8" spans="1:22" x14ac:dyDescent="0.3">
      <c r="A8" t="s">
        <v>19</v>
      </c>
      <c r="B8" s="4">
        <v>45900</v>
      </c>
      <c r="C8" t="s">
        <v>568</v>
      </c>
      <c r="D8" t="str">
        <f t="shared" si="8"/>
        <v>Daniel Harris</v>
      </c>
      <c r="E8" t="s">
        <v>604</v>
      </c>
      <c r="F8" t="str">
        <f t="shared" si="0"/>
        <v>United States</v>
      </c>
      <c r="G8" t="s">
        <v>626</v>
      </c>
      <c r="H8" t="s">
        <v>638</v>
      </c>
      <c r="I8">
        <v>2</v>
      </c>
      <c r="J8" s="1">
        <v>36</v>
      </c>
      <c r="K8" s="1">
        <v>16</v>
      </c>
      <c r="L8" s="2">
        <v>0.15</v>
      </c>
      <c r="M8" t="s">
        <v>645</v>
      </c>
      <c r="N8" t="str">
        <f t="shared" si="1"/>
        <v>Bank Transfer</v>
      </c>
      <c r="O8" t="s">
        <v>648</v>
      </c>
      <c r="P8" t="str">
        <f t="shared" si="2"/>
        <v>Completed</v>
      </c>
      <c r="Q8" t="str">
        <f t="shared" si="3"/>
        <v>Invalid</v>
      </c>
      <c r="R8" t="s">
        <v>661</v>
      </c>
      <c r="S8">
        <f t="shared" si="4"/>
        <v>61.199999999999996</v>
      </c>
      <c r="T8">
        <f t="shared" si="5"/>
        <v>32</v>
      </c>
      <c r="U8">
        <f t="shared" si="6"/>
        <v>29.199999999999996</v>
      </c>
      <c r="V8" s="8">
        <f t="shared" si="7"/>
        <v>0.47712418300653592</v>
      </c>
    </row>
    <row r="9" spans="1:22" x14ac:dyDescent="0.3">
      <c r="A9" t="s">
        <v>20</v>
      </c>
      <c r="B9" s="4">
        <v>45753</v>
      </c>
      <c r="C9" t="s">
        <v>569</v>
      </c>
      <c r="D9" t="str">
        <f t="shared" si="8"/>
        <v>Mia White</v>
      </c>
      <c r="E9" t="s">
        <v>603</v>
      </c>
      <c r="F9" t="str">
        <f t="shared" si="0"/>
        <v>Germany</v>
      </c>
      <c r="G9" t="s">
        <v>631</v>
      </c>
      <c r="H9" t="s">
        <v>641</v>
      </c>
      <c r="I9">
        <v>4</v>
      </c>
      <c r="J9" s="1">
        <v>85</v>
      </c>
      <c r="K9" s="1">
        <v>44</v>
      </c>
      <c r="L9" s="2">
        <v>0</v>
      </c>
      <c r="M9" t="s">
        <v>643</v>
      </c>
      <c r="N9" t="str">
        <f t="shared" si="1"/>
        <v>Credit Card</v>
      </c>
      <c r="O9" t="s">
        <v>648</v>
      </c>
      <c r="P9" t="str">
        <f t="shared" si="2"/>
        <v>Completed</v>
      </c>
      <c r="Q9" t="str">
        <f t="shared" si="3"/>
        <v>Valid</v>
      </c>
      <c r="R9" t="s">
        <v>662</v>
      </c>
      <c r="S9">
        <f t="shared" si="4"/>
        <v>340</v>
      </c>
      <c r="T9">
        <f t="shared" si="5"/>
        <v>176</v>
      </c>
      <c r="U9">
        <f t="shared" si="6"/>
        <v>164</v>
      </c>
      <c r="V9" s="8">
        <f t="shared" si="7"/>
        <v>0.4823529411764706</v>
      </c>
    </row>
    <row r="10" spans="1:22" x14ac:dyDescent="0.3">
      <c r="A10" t="s">
        <v>21</v>
      </c>
      <c r="B10" s="4">
        <v>45743</v>
      </c>
      <c r="C10" t="s">
        <v>570</v>
      </c>
      <c r="D10" t="str">
        <f t="shared" si="8"/>
        <v>Grace Moore</v>
      </c>
      <c r="E10" t="s">
        <v>605</v>
      </c>
      <c r="F10" t="str">
        <f t="shared" si="0"/>
        <v>Singapore</v>
      </c>
      <c r="G10" t="s">
        <v>632</v>
      </c>
      <c r="H10" t="s">
        <v>639</v>
      </c>
      <c r="I10">
        <v>3</v>
      </c>
      <c r="J10" s="1">
        <v>42</v>
      </c>
      <c r="K10" s="1">
        <v>21</v>
      </c>
      <c r="L10" s="2">
        <v>0.05</v>
      </c>
      <c r="M10" t="s">
        <v>642</v>
      </c>
      <c r="N10" t="s">
        <v>644</v>
      </c>
      <c r="O10" t="s">
        <v>650</v>
      </c>
      <c r="P10" t="str">
        <f t="shared" si="2"/>
        <v>Cancelled</v>
      </c>
      <c r="Q10" t="str">
        <f t="shared" si="3"/>
        <v>Valid</v>
      </c>
      <c r="R10" t="s">
        <v>663</v>
      </c>
      <c r="S10">
        <f t="shared" si="4"/>
        <v>119.69999999999999</v>
      </c>
      <c r="T10">
        <f t="shared" si="5"/>
        <v>63</v>
      </c>
      <c r="U10">
        <f t="shared" si="6"/>
        <v>56.699999999999989</v>
      </c>
      <c r="V10" s="8">
        <f t="shared" si="7"/>
        <v>0.47368421052631576</v>
      </c>
    </row>
    <row r="11" spans="1:22" x14ac:dyDescent="0.3">
      <c r="A11" t="s">
        <v>22</v>
      </c>
      <c r="B11" s="4">
        <v>45914</v>
      </c>
      <c r="C11" t="s">
        <v>571</v>
      </c>
      <c r="D11" t="str">
        <f t="shared" si="8"/>
        <v>Henry Clark</v>
      </c>
      <c r="E11" t="s">
        <v>606</v>
      </c>
      <c r="F11" t="str">
        <f t="shared" si="0"/>
        <v>Canada</v>
      </c>
      <c r="G11" t="s">
        <v>633</v>
      </c>
      <c r="H11" t="s">
        <v>638</v>
      </c>
      <c r="I11">
        <v>1</v>
      </c>
      <c r="J11" s="1">
        <v>210</v>
      </c>
      <c r="K11" s="1">
        <v>125</v>
      </c>
      <c r="L11" s="2">
        <v>0.05</v>
      </c>
      <c r="M11" t="s">
        <v>644</v>
      </c>
      <c r="N11" t="s">
        <v>644</v>
      </c>
      <c r="O11" t="s">
        <v>650</v>
      </c>
      <c r="P11" t="str">
        <f t="shared" si="2"/>
        <v>Cancelled</v>
      </c>
      <c r="Q11" t="str">
        <f t="shared" si="3"/>
        <v>Valid</v>
      </c>
      <c r="R11" t="s">
        <v>664</v>
      </c>
      <c r="S11">
        <f t="shared" si="4"/>
        <v>199.5</v>
      </c>
      <c r="T11">
        <f t="shared" si="5"/>
        <v>125</v>
      </c>
      <c r="U11">
        <f t="shared" si="6"/>
        <v>74.5</v>
      </c>
      <c r="V11" s="8">
        <f t="shared" si="7"/>
        <v>0.37343358395989973</v>
      </c>
    </row>
    <row r="12" spans="1:22" x14ac:dyDescent="0.3">
      <c r="A12" t="s">
        <v>23</v>
      </c>
      <c r="B12" s="4">
        <v>45801</v>
      </c>
      <c r="C12" t="s">
        <v>572</v>
      </c>
      <c r="D12" t="str">
        <f t="shared" si="8"/>
        <v>Olivia Davis</v>
      </c>
      <c r="E12" t="s">
        <v>607</v>
      </c>
      <c r="F12" t="str">
        <f t="shared" si="0"/>
        <v>Germany</v>
      </c>
      <c r="G12" t="s">
        <v>634</v>
      </c>
      <c r="H12" t="s">
        <v>641</v>
      </c>
      <c r="I12">
        <v>3</v>
      </c>
      <c r="J12" s="1">
        <v>59</v>
      </c>
      <c r="K12" s="1">
        <v>30</v>
      </c>
      <c r="L12" s="2">
        <v>0.05</v>
      </c>
      <c r="M12" t="s">
        <v>643</v>
      </c>
      <c r="N12" t="str">
        <f t="shared" si="1"/>
        <v>Credit Card</v>
      </c>
      <c r="O12" t="s">
        <v>648</v>
      </c>
      <c r="P12" t="str">
        <f t="shared" si="2"/>
        <v>Completed</v>
      </c>
      <c r="Q12" t="str">
        <f t="shared" si="3"/>
        <v>Valid</v>
      </c>
      <c r="R12" t="s">
        <v>665</v>
      </c>
      <c r="S12">
        <f t="shared" si="4"/>
        <v>168.15</v>
      </c>
      <c r="T12">
        <f t="shared" si="5"/>
        <v>90</v>
      </c>
      <c r="U12">
        <f t="shared" si="6"/>
        <v>78.150000000000006</v>
      </c>
      <c r="V12" s="8">
        <f t="shared" si="7"/>
        <v>0.46476360392506694</v>
      </c>
    </row>
    <row r="13" spans="1:22" x14ac:dyDescent="0.3">
      <c r="A13" t="s">
        <v>24</v>
      </c>
      <c r="B13" s="4">
        <v>45918</v>
      </c>
      <c r="C13" t="s">
        <v>568</v>
      </c>
      <c r="D13" t="str">
        <f t="shared" si="8"/>
        <v>Daniel Harris</v>
      </c>
      <c r="E13" t="s">
        <v>605</v>
      </c>
      <c r="F13" t="str">
        <f t="shared" si="0"/>
        <v>Singapore</v>
      </c>
      <c r="G13" t="s">
        <v>632</v>
      </c>
      <c r="H13" t="s">
        <v>639</v>
      </c>
      <c r="I13">
        <v>3</v>
      </c>
      <c r="J13" s="1">
        <v>42</v>
      </c>
      <c r="K13" s="1">
        <v>21</v>
      </c>
      <c r="L13" s="2">
        <v>0</v>
      </c>
      <c r="M13" t="s">
        <v>642</v>
      </c>
      <c r="N13" t="s">
        <v>644</v>
      </c>
      <c r="O13" t="s">
        <v>649</v>
      </c>
      <c r="P13" t="str">
        <f t="shared" si="2"/>
        <v>Pending</v>
      </c>
      <c r="Q13" t="str">
        <f t="shared" si="3"/>
        <v>Valid</v>
      </c>
      <c r="R13" t="s">
        <v>666</v>
      </c>
      <c r="S13">
        <f t="shared" si="4"/>
        <v>126</v>
      </c>
      <c r="T13">
        <f t="shared" si="5"/>
        <v>63</v>
      </c>
      <c r="U13">
        <f t="shared" si="6"/>
        <v>63</v>
      </c>
      <c r="V13" s="8">
        <f t="shared" si="7"/>
        <v>0.5</v>
      </c>
    </row>
    <row r="14" spans="1:22" x14ac:dyDescent="0.3">
      <c r="A14" t="s">
        <v>25</v>
      </c>
      <c r="B14" s="4">
        <v>45830</v>
      </c>
      <c r="C14" t="s">
        <v>573</v>
      </c>
      <c r="D14" t="str">
        <f t="shared" si="8"/>
        <v>Noah Brown</v>
      </c>
      <c r="E14" t="s">
        <v>603</v>
      </c>
      <c r="F14" t="str">
        <f t="shared" si="0"/>
        <v>Germany</v>
      </c>
      <c r="G14" t="s">
        <v>631</v>
      </c>
      <c r="H14" t="s">
        <v>641</v>
      </c>
      <c r="I14">
        <v>3</v>
      </c>
      <c r="J14" s="1">
        <v>85</v>
      </c>
      <c r="K14" s="1">
        <v>44</v>
      </c>
      <c r="L14" s="2">
        <v>0</v>
      </c>
      <c r="M14" t="s">
        <v>646</v>
      </c>
      <c r="N14" t="str">
        <f t="shared" si="1"/>
        <v>Debit Card</v>
      </c>
      <c r="O14" t="s">
        <v>648</v>
      </c>
      <c r="P14" t="str">
        <f t="shared" si="2"/>
        <v>Completed</v>
      </c>
      <c r="Q14" t="str">
        <f t="shared" si="3"/>
        <v>Valid</v>
      </c>
      <c r="R14" t="s">
        <v>667</v>
      </c>
      <c r="S14">
        <f t="shared" si="4"/>
        <v>255</v>
      </c>
      <c r="T14">
        <f t="shared" si="5"/>
        <v>132</v>
      </c>
      <c r="U14">
        <f t="shared" si="6"/>
        <v>123</v>
      </c>
      <c r="V14" s="8">
        <f t="shared" si="7"/>
        <v>0.4823529411764706</v>
      </c>
    </row>
    <row r="15" spans="1:22" x14ac:dyDescent="0.3">
      <c r="A15" t="s">
        <v>26</v>
      </c>
      <c r="B15" s="4">
        <v>45825</v>
      </c>
      <c r="C15" t="s">
        <v>571</v>
      </c>
      <c r="D15" t="str">
        <f t="shared" si="8"/>
        <v>Henry Clark</v>
      </c>
      <c r="E15" t="s">
        <v>608</v>
      </c>
      <c r="F15" t="str">
        <f t="shared" si="0"/>
        <v>India</v>
      </c>
      <c r="G15" t="s">
        <v>626</v>
      </c>
      <c r="H15" t="s">
        <v>638</v>
      </c>
      <c r="I15">
        <v>4</v>
      </c>
      <c r="J15" s="1">
        <v>36</v>
      </c>
      <c r="K15" s="1">
        <v>16</v>
      </c>
      <c r="L15" s="2">
        <v>0</v>
      </c>
      <c r="M15" t="s">
        <v>643</v>
      </c>
      <c r="N15" t="str">
        <f t="shared" si="1"/>
        <v>Credit Card</v>
      </c>
      <c r="O15" t="s">
        <v>648</v>
      </c>
      <c r="P15" t="str">
        <f t="shared" si="2"/>
        <v>Completed</v>
      </c>
      <c r="Q15" t="str">
        <f t="shared" si="3"/>
        <v>Valid</v>
      </c>
      <c r="R15" t="s">
        <v>664</v>
      </c>
      <c r="S15">
        <f t="shared" si="4"/>
        <v>144</v>
      </c>
      <c r="T15">
        <f t="shared" si="5"/>
        <v>64</v>
      </c>
      <c r="U15">
        <f t="shared" si="6"/>
        <v>80</v>
      </c>
      <c r="V15" s="8">
        <f t="shared" si="7"/>
        <v>0.55555555555555558</v>
      </c>
    </row>
    <row r="16" spans="1:22" x14ac:dyDescent="0.3">
      <c r="A16" t="s">
        <v>27</v>
      </c>
      <c r="B16" s="4">
        <v>45795</v>
      </c>
      <c r="C16" t="s">
        <v>574</v>
      </c>
      <c r="D16" t="str">
        <f t="shared" si="8"/>
        <v>Sophia Taylor</v>
      </c>
      <c r="E16" t="s">
        <v>609</v>
      </c>
      <c r="F16" t="str">
        <f t="shared" si="0"/>
        <v>Singapore</v>
      </c>
      <c r="G16" t="s">
        <v>634</v>
      </c>
      <c r="H16" t="s">
        <v>641</v>
      </c>
      <c r="I16">
        <v>5</v>
      </c>
      <c r="J16" s="1">
        <v>59</v>
      </c>
      <c r="K16" s="1">
        <v>30</v>
      </c>
      <c r="L16" s="2">
        <v>0.1</v>
      </c>
      <c r="M16" t="s">
        <v>643</v>
      </c>
      <c r="N16" t="str">
        <f t="shared" si="1"/>
        <v>Credit Card</v>
      </c>
      <c r="O16" t="s">
        <v>649</v>
      </c>
      <c r="P16" t="str">
        <f t="shared" si="2"/>
        <v>Pending</v>
      </c>
      <c r="Q16" t="str">
        <f t="shared" si="3"/>
        <v>Valid</v>
      </c>
      <c r="R16" t="s">
        <v>660</v>
      </c>
      <c r="S16">
        <f t="shared" si="4"/>
        <v>265.5</v>
      </c>
      <c r="T16">
        <f t="shared" si="5"/>
        <v>150</v>
      </c>
      <c r="U16">
        <f t="shared" si="6"/>
        <v>115.5</v>
      </c>
      <c r="V16" s="8">
        <f t="shared" si="7"/>
        <v>0.43502824858757061</v>
      </c>
    </row>
    <row r="17" spans="1:22" x14ac:dyDescent="0.3">
      <c r="A17" t="s">
        <v>28</v>
      </c>
      <c r="B17" s="4">
        <v>46018</v>
      </c>
      <c r="C17" t="s">
        <v>564</v>
      </c>
      <c r="D17" t="str">
        <f t="shared" si="8"/>
        <v>Ava Thomas</v>
      </c>
      <c r="E17" t="s">
        <v>610</v>
      </c>
      <c r="F17" t="str">
        <f t="shared" si="0"/>
        <v>United Arab Emirates</v>
      </c>
      <c r="G17" t="s">
        <v>626</v>
      </c>
      <c r="H17" t="s">
        <v>638</v>
      </c>
      <c r="I17">
        <v>2</v>
      </c>
      <c r="J17" s="1">
        <v>36</v>
      </c>
      <c r="K17" s="1">
        <v>16</v>
      </c>
      <c r="L17" s="2">
        <v>0.1</v>
      </c>
      <c r="M17" t="s">
        <v>645</v>
      </c>
      <c r="N17" t="str">
        <f t="shared" si="1"/>
        <v>Bank Transfer</v>
      </c>
      <c r="O17" t="s">
        <v>648</v>
      </c>
      <c r="P17" t="str">
        <f t="shared" si="2"/>
        <v>Completed</v>
      </c>
      <c r="Q17" t="str">
        <f t="shared" si="3"/>
        <v>Valid</v>
      </c>
      <c r="R17" t="s">
        <v>657</v>
      </c>
      <c r="S17">
        <f t="shared" si="4"/>
        <v>64.8</v>
      </c>
      <c r="T17">
        <f t="shared" si="5"/>
        <v>32</v>
      </c>
      <c r="U17">
        <f t="shared" si="6"/>
        <v>32.799999999999997</v>
      </c>
      <c r="V17" s="8">
        <f t="shared" si="7"/>
        <v>0.50617283950617287</v>
      </c>
    </row>
    <row r="18" spans="1:22" x14ac:dyDescent="0.3">
      <c r="A18" t="s">
        <v>29</v>
      </c>
      <c r="B18" s="4">
        <v>45908</v>
      </c>
      <c r="C18" t="s">
        <v>563</v>
      </c>
      <c r="D18" t="str">
        <f t="shared" si="8"/>
        <v>Liam Miller</v>
      </c>
      <c r="E18" t="s">
        <v>600</v>
      </c>
      <c r="F18" t="str">
        <f t="shared" si="0"/>
        <v>Australia</v>
      </c>
      <c r="G18" t="s">
        <v>635</v>
      </c>
      <c r="H18" t="s">
        <v>639</v>
      </c>
      <c r="I18">
        <v>1</v>
      </c>
      <c r="J18" s="1">
        <v>65</v>
      </c>
      <c r="K18" s="1">
        <v>31</v>
      </c>
      <c r="L18" s="2">
        <v>0.05</v>
      </c>
      <c r="M18" t="s">
        <v>647</v>
      </c>
      <c r="N18" t="str">
        <f t="shared" si="1"/>
        <v>Credit Card</v>
      </c>
      <c r="O18" t="s">
        <v>648</v>
      </c>
      <c r="P18" t="str">
        <f t="shared" si="2"/>
        <v>Completed</v>
      </c>
      <c r="Q18" t="str">
        <f t="shared" si="3"/>
        <v>Valid</v>
      </c>
      <c r="R18" t="s">
        <v>656</v>
      </c>
      <c r="S18">
        <f t="shared" si="4"/>
        <v>61.75</v>
      </c>
      <c r="T18">
        <f t="shared" si="5"/>
        <v>31</v>
      </c>
      <c r="U18">
        <f t="shared" si="6"/>
        <v>30.75</v>
      </c>
      <c r="V18" s="8">
        <f t="shared" si="7"/>
        <v>0.49797570850202427</v>
      </c>
    </row>
    <row r="19" spans="1:22" x14ac:dyDescent="0.3">
      <c r="A19" t="s">
        <v>30</v>
      </c>
      <c r="B19" s="4">
        <v>45704</v>
      </c>
      <c r="C19" t="s">
        <v>575</v>
      </c>
      <c r="D19" t="str">
        <f t="shared" si="8"/>
        <v>Lucas Jackson</v>
      </c>
      <c r="E19" t="s">
        <v>604</v>
      </c>
      <c r="F19" t="str">
        <f t="shared" si="0"/>
        <v>United States</v>
      </c>
      <c r="G19" t="s">
        <v>635</v>
      </c>
      <c r="H19" t="s">
        <v>639</v>
      </c>
      <c r="I19">
        <v>2</v>
      </c>
      <c r="J19" s="1">
        <v>65</v>
      </c>
      <c r="K19" s="1">
        <v>31</v>
      </c>
      <c r="L19" s="2">
        <v>0.1</v>
      </c>
      <c r="M19" t="s">
        <v>642</v>
      </c>
      <c r="N19" t="s">
        <v>644</v>
      </c>
      <c r="O19" t="s">
        <v>648</v>
      </c>
      <c r="P19" t="str">
        <f t="shared" si="2"/>
        <v>Completed</v>
      </c>
      <c r="Q19" t="str">
        <f t="shared" si="3"/>
        <v>Valid</v>
      </c>
      <c r="R19" t="s">
        <v>668</v>
      </c>
      <c r="S19">
        <f t="shared" si="4"/>
        <v>117</v>
      </c>
      <c r="T19">
        <f t="shared" si="5"/>
        <v>62</v>
      </c>
      <c r="U19">
        <f t="shared" si="6"/>
        <v>55</v>
      </c>
      <c r="V19" s="8">
        <f t="shared" si="7"/>
        <v>0.47008547008547008</v>
      </c>
    </row>
    <row r="20" spans="1:22" x14ac:dyDescent="0.3">
      <c r="A20" t="s">
        <v>31</v>
      </c>
      <c r="B20" s="4">
        <v>45979</v>
      </c>
      <c r="C20" t="s">
        <v>571</v>
      </c>
      <c r="D20" t="str">
        <f t="shared" si="8"/>
        <v>Henry Clark</v>
      </c>
      <c r="E20" t="s">
        <v>611</v>
      </c>
      <c r="F20" t="str">
        <f t="shared" si="0"/>
        <v>United States</v>
      </c>
      <c r="G20" t="s">
        <v>627</v>
      </c>
      <c r="H20" t="s">
        <v>639</v>
      </c>
      <c r="I20">
        <v>4</v>
      </c>
      <c r="J20" s="1">
        <v>38</v>
      </c>
      <c r="K20" s="1">
        <v>17</v>
      </c>
      <c r="L20" s="2">
        <v>0.15</v>
      </c>
      <c r="M20" t="s">
        <v>645</v>
      </c>
      <c r="N20" t="str">
        <f t="shared" si="1"/>
        <v>Bank Transfer</v>
      </c>
      <c r="O20" t="s">
        <v>649</v>
      </c>
      <c r="P20" t="str">
        <f t="shared" si="2"/>
        <v>Pending</v>
      </c>
      <c r="Q20" t="str">
        <f t="shared" si="3"/>
        <v>Missing</v>
      </c>
      <c r="S20">
        <f t="shared" si="4"/>
        <v>129.19999999999999</v>
      </c>
      <c r="T20">
        <f t="shared" si="5"/>
        <v>68</v>
      </c>
      <c r="U20">
        <f t="shared" si="6"/>
        <v>61.199999999999989</v>
      </c>
      <c r="V20" s="8">
        <f t="shared" si="7"/>
        <v>0.47368421052631576</v>
      </c>
    </row>
    <row r="21" spans="1:22" x14ac:dyDescent="0.3">
      <c r="A21" t="s">
        <v>32</v>
      </c>
      <c r="B21" s="4">
        <v>45815</v>
      </c>
      <c r="C21" t="s">
        <v>576</v>
      </c>
      <c r="D21" t="str">
        <f t="shared" si="8"/>
        <v>Chloe Lewis</v>
      </c>
      <c r="E21" t="s">
        <v>607</v>
      </c>
      <c r="F21" t="str">
        <f t="shared" si="0"/>
        <v>Germany</v>
      </c>
      <c r="G21" t="s">
        <v>629</v>
      </c>
      <c r="H21" t="s">
        <v>640</v>
      </c>
      <c r="I21">
        <v>1</v>
      </c>
      <c r="J21" s="1">
        <v>92</v>
      </c>
      <c r="K21" s="1">
        <v>53</v>
      </c>
      <c r="L21" s="2">
        <v>0.2</v>
      </c>
      <c r="M21" t="s">
        <v>645</v>
      </c>
      <c r="N21" t="str">
        <f t="shared" si="1"/>
        <v>Bank Transfer</v>
      </c>
      <c r="O21" t="s">
        <v>651</v>
      </c>
      <c r="P21" t="str">
        <f t="shared" si="2"/>
        <v>Shipped</v>
      </c>
      <c r="Q21" t="str">
        <f t="shared" si="3"/>
        <v>Valid</v>
      </c>
      <c r="R21" t="s">
        <v>669</v>
      </c>
      <c r="S21">
        <f t="shared" si="4"/>
        <v>73.600000000000009</v>
      </c>
      <c r="T21">
        <f t="shared" si="5"/>
        <v>53</v>
      </c>
      <c r="U21">
        <f t="shared" si="6"/>
        <v>20.600000000000009</v>
      </c>
      <c r="V21" s="8">
        <f t="shared" si="7"/>
        <v>0.27989130434782616</v>
      </c>
    </row>
    <row r="22" spans="1:22" x14ac:dyDescent="0.3">
      <c r="A22" t="s">
        <v>33</v>
      </c>
      <c r="B22" s="4">
        <v>45889</v>
      </c>
      <c r="C22" t="s">
        <v>576</v>
      </c>
      <c r="D22" t="str">
        <f t="shared" si="8"/>
        <v>Chloe Lewis</v>
      </c>
      <c r="E22" t="s">
        <v>612</v>
      </c>
      <c r="F22" t="str">
        <f t="shared" si="0"/>
        <v>United Kingdom</v>
      </c>
      <c r="G22" t="s">
        <v>634</v>
      </c>
      <c r="H22" t="s">
        <v>641</v>
      </c>
      <c r="I22">
        <v>4</v>
      </c>
      <c r="J22" s="1">
        <v>59</v>
      </c>
      <c r="K22" s="1">
        <v>30</v>
      </c>
      <c r="L22" s="2">
        <v>0.15</v>
      </c>
      <c r="M22" t="s">
        <v>647</v>
      </c>
      <c r="N22" t="str">
        <f t="shared" si="1"/>
        <v>Credit Card</v>
      </c>
      <c r="O22" t="s">
        <v>648</v>
      </c>
      <c r="P22" t="str">
        <f t="shared" si="2"/>
        <v>Completed</v>
      </c>
      <c r="Q22" t="str">
        <f t="shared" si="3"/>
        <v>Missing</v>
      </c>
      <c r="S22">
        <f t="shared" si="4"/>
        <v>200.6</v>
      </c>
      <c r="T22">
        <f t="shared" si="5"/>
        <v>120</v>
      </c>
      <c r="U22">
        <f t="shared" si="6"/>
        <v>80.599999999999994</v>
      </c>
      <c r="V22" s="8">
        <f t="shared" si="7"/>
        <v>0.40179461615154533</v>
      </c>
    </row>
    <row r="23" spans="1:22" x14ac:dyDescent="0.3">
      <c r="A23" t="s">
        <v>34</v>
      </c>
      <c r="B23" s="4">
        <v>45831</v>
      </c>
      <c r="C23" t="s">
        <v>564</v>
      </c>
      <c r="D23" t="str">
        <f t="shared" si="8"/>
        <v>Ava Thomas</v>
      </c>
      <c r="E23" t="s">
        <v>613</v>
      </c>
      <c r="F23" t="str">
        <f t="shared" si="0"/>
        <v>Singapore</v>
      </c>
      <c r="G23" t="s">
        <v>630</v>
      </c>
      <c r="H23" t="s">
        <v>640</v>
      </c>
      <c r="I23">
        <v>4</v>
      </c>
      <c r="J23" s="1">
        <v>78</v>
      </c>
      <c r="K23" s="1">
        <v>45</v>
      </c>
      <c r="L23" s="2">
        <v>0.1</v>
      </c>
      <c r="N23" t="s">
        <v>717</v>
      </c>
      <c r="O23" t="s">
        <v>649</v>
      </c>
      <c r="P23" t="str">
        <f t="shared" si="2"/>
        <v>Pending</v>
      </c>
      <c r="Q23" t="str">
        <f t="shared" si="3"/>
        <v>Valid</v>
      </c>
      <c r="R23" t="s">
        <v>657</v>
      </c>
      <c r="S23">
        <f t="shared" si="4"/>
        <v>280.8</v>
      </c>
      <c r="T23">
        <f t="shared" si="5"/>
        <v>180</v>
      </c>
      <c r="U23">
        <f t="shared" si="6"/>
        <v>100.80000000000001</v>
      </c>
      <c r="V23" s="8">
        <f t="shared" si="7"/>
        <v>0.35897435897435898</v>
      </c>
    </row>
    <row r="24" spans="1:22" x14ac:dyDescent="0.3">
      <c r="A24" t="s">
        <v>35</v>
      </c>
      <c r="B24" s="4">
        <v>45792</v>
      </c>
      <c r="C24" t="s">
        <v>573</v>
      </c>
      <c r="D24" t="str">
        <f t="shared" si="8"/>
        <v>Noah Brown</v>
      </c>
      <c r="E24" t="s">
        <v>614</v>
      </c>
      <c r="F24" t="str">
        <f t="shared" si="0"/>
        <v>Australia</v>
      </c>
      <c r="G24" t="s">
        <v>632</v>
      </c>
      <c r="H24" t="s">
        <v>639</v>
      </c>
      <c r="I24">
        <v>4</v>
      </c>
      <c r="J24" s="1">
        <v>42</v>
      </c>
      <c r="K24" s="1">
        <v>21</v>
      </c>
      <c r="L24" s="2">
        <v>0.05</v>
      </c>
      <c r="M24" t="s">
        <v>647</v>
      </c>
      <c r="N24" t="str">
        <f t="shared" si="1"/>
        <v>Credit Card</v>
      </c>
      <c r="O24" t="s">
        <v>650</v>
      </c>
      <c r="P24" t="str">
        <f t="shared" si="2"/>
        <v>Cancelled</v>
      </c>
      <c r="Q24" t="str">
        <f t="shared" si="3"/>
        <v>Valid</v>
      </c>
      <c r="R24" t="s">
        <v>667</v>
      </c>
      <c r="S24">
        <f t="shared" si="4"/>
        <v>159.6</v>
      </c>
      <c r="T24">
        <f t="shared" si="5"/>
        <v>84</v>
      </c>
      <c r="U24">
        <f t="shared" si="6"/>
        <v>75.599999999999994</v>
      </c>
      <c r="V24" s="8">
        <f t="shared" si="7"/>
        <v>0.47368421052631576</v>
      </c>
    </row>
    <row r="25" spans="1:22" x14ac:dyDescent="0.3">
      <c r="A25" t="s">
        <v>36</v>
      </c>
      <c r="B25" s="4">
        <v>45933</v>
      </c>
      <c r="C25" t="s">
        <v>573</v>
      </c>
      <c r="D25" t="str">
        <f t="shared" si="8"/>
        <v>Noah Brown</v>
      </c>
      <c r="E25" t="s">
        <v>615</v>
      </c>
      <c r="F25" t="str">
        <f t="shared" si="0"/>
        <v>Canada</v>
      </c>
      <c r="G25" t="s">
        <v>634</v>
      </c>
      <c r="H25" t="s">
        <v>641</v>
      </c>
      <c r="I25">
        <v>2</v>
      </c>
      <c r="J25" s="1">
        <v>59</v>
      </c>
      <c r="K25" s="1">
        <v>30</v>
      </c>
      <c r="L25" s="2">
        <v>0</v>
      </c>
      <c r="M25" t="s">
        <v>644</v>
      </c>
      <c r="N25" t="s">
        <v>644</v>
      </c>
      <c r="O25" t="s">
        <v>648</v>
      </c>
      <c r="P25" t="str">
        <f t="shared" si="2"/>
        <v>Completed</v>
      </c>
      <c r="Q25" t="str">
        <f t="shared" si="3"/>
        <v>Valid</v>
      </c>
      <c r="R25" t="s">
        <v>667</v>
      </c>
      <c r="S25">
        <f t="shared" si="4"/>
        <v>118</v>
      </c>
      <c r="T25">
        <f t="shared" si="5"/>
        <v>60</v>
      </c>
      <c r="U25">
        <f t="shared" si="6"/>
        <v>58</v>
      </c>
      <c r="V25" s="8">
        <f t="shared" si="7"/>
        <v>0.49152542372881358</v>
      </c>
    </row>
    <row r="26" spans="1:22" x14ac:dyDescent="0.3">
      <c r="A26" t="s">
        <v>37</v>
      </c>
      <c r="B26" s="4">
        <v>45684</v>
      </c>
      <c r="C26" t="s">
        <v>577</v>
      </c>
      <c r="D26" t="str">
        <f t="shared" si="8"/>
        <v>Emma Wilson</v>
      </c>
      <c r="E26" t="s">
        <v>611</v>
      </c>
      <c r="F26" t="str">
        <f t="shared" si="0"/>
        <v>United States</v>
      </c>
      <c r="G26" t="s">
        <v>631</v>
      </c>
      <c r="H26" t="s">
        <v>641</v>
      </c>
      <c r="I26">
        <v>4</v>
      </c>
      <c r="J26" s="1">
        <v>85</v>
      </c>
      <c r="K26" s="1">
        <v>44</v>
      </c>
      <c r="L26" s="2">
        <v>0.05</v>
      </c>
      <c r="M26" t="s">
        <v>642</v>
      </c>
      <c r="N26" t="s">
        <v>644</v>
      </c>
      <c r="O26" t="s">
        <v>650</v>
      </c>
      <c r="P26" t="str">
        <f t="shared" si="2"/>
        <v>Cancelled</v>
      </c>
      <c r="Q26" t="str">
        <f t="shared" si="3"/>
        <v>Valid</v>
      </c>
      <c r="R26" t="s">
        <v>670</v>
      </c>
      <c r="S26">
        <f t="shared" si="4"/>
        <v>323</v>
      </c>
      <c r="T26">
        <f t="shared" si="5"/>
        <v>176</v>
      </c>
      <c r="U26">
        <f t="shared" si="6"/>
        <v>147</v>
      </c>
      <c r="V26" s="8">
        <f t="shared" si="7"/>
        <v>0.45510835913312692</v>
      </c>
    </row>
    <row r="27" spans="1:22" x14ac:dyDescent="0.3">
      <c r="A27" t="s">
        <v>38</v>
      </c>
      <c r="B27" s="4">
        <v>45733</v>
      </c>
      <c r="C27" t="s">
        <v>571</v>
      </c>
      <c r="D27" t="str">
        <f t="shared" si="8"/>
        <v>Henry Clark</v>
      </c>
      <c r="E27" t="s">
        <v>608</v>
      </c>
      <c r="F27" t="str">
        <f t="shared" si="0"/>
        <v>India</v>
      </c>
      <c r="G27" t="s">
        <v>635</v>
      </c>
      <c r="H27" t="s">
        <v>639</v>
      </c>
      <c r="I27">
        <v>1</v>
      </c>
      <c r="J27" s="1">
        <v>65</v>
      </c>
      <c r="K27" s="1">
        <v>31</v>
      </c>
      <c r="L27" s="2">
        <v>0</v>
      </c>
      <c r="M27" t="s">
        <v>647</v>
      </c>
      <c r="N27" t="str">
        <f t="shared" si="1"/>
        <v>Credit Card</v>
      </c>
      <c r="O27" t="s">
        <v>649</v>
      </c>
      <c r="P27" t="str">
        <f t="shared" si="2"/>
        <v>Pending</v>
      </c>
      <c r="Q27" t="str">
        <f t="shared" si="3"/>
        <v>Valid</v>
      </c>
      <c r="R27" t="s">
        <v>664</v>
      </c>
      <c r="S27">
        <f t="shared" si="4"/>
        <v>65</v>
      </c>
      <c r="T27">
        <f t="shared" si="5"/>
        <v>31</v>
      </c>
      <c r="U27">
        <f t="shared" si="6"/>
        <v>34</v>
      </c>
      <c r="V27" s="8">
        <f t="shared" si="7"/>
        <v>0.52307692307692311</v>
      </c>
    </row>
    <row r="28" spans="1:22" x14ac:dyDescent="0.3">
      <c r="A28" t="s">
        <v>39</v>
      </c>
      <c r="B28" s="4">
        <v>45852</v>
      </c>
      <c r="C28" t="s">
        <v>578</v>
      </c>
      <c r="D28" t="str">
        <f t="shared" si="8"/>
        <v>Ella Martin</v>
      </c>
      <c r="E28" t="s">
        <v>603</v>
      </c>
      <c r="F28" t="str">
        <f t="shared" si="0"/>
        <v>Germany</v>
      </c>
      <c r="G28" t="s">
        <v>629</v>
      </c>
      <c r="H28" t="s">
        <v>640</v>
      </c>
      <c r="I28">
        <v>2</v>
      </c>
      <c r="J28" s="1">
        <v>92</v>
      </c>
      <c r="K28" s="1">
        <v>53</v>
      </c>
      <c r="L28" s="2">
        <v>0.05</v>
      </c>
      <c r="M28" t="s">
        <v>646</v>
      </c>
      <c r="N28" t="str">
        <f t="shared" si="1"/>
        <v>Debit Card</v>
      </c>
      <c r="O28" t="s">
        <v>651</v>
      </c>
      <c r="P28" t="str">
        <f t="shared" si="2"/>
        <v>Shipped</v>
      </c>
      <c r="Q28" t="str">
        <f t="shared" si="3"/>
        <v>Valid</v>
      </c>
      <c r="R28" t="s">
        <v>671</v>
      </c>
      <c r="S28">
        <f t="shared" si="4"/>
        <v>174.79999999999998</v>
      </c>
      <c r="T28">
        <f t="shared" si="5"/>
        <v>106</v>
      </c>
      <c r="U28">
        <f t="shared" si="6"/>
        <v>68.799999999999983</v>
      </c>
      <c r="V28" s="8">
        <f t="shared" si="7"/>
        <v>0.39359267734553771</v>
      </c>
    </row>
    <row r="29" spans="1:22" x14ac:dyDescent="0.3">
      <c r="A29" t="s">
        <v>40</v>
      </c>
      <c r="B29" s="4">
        <v>45845</v>
      </c>
      <c r="C29" t="s">
        <v>572</v>
      </c>
      <c r="D29" t="str">
        <f t="shared" si="8"/>
        <v>Olivia Davis</v>
      </c>
      <c r="E29" t="s">
        <v>616</v>
      </c>
      <c r="F29" t="str">
        <f t="shared" si="0"/>
        <v>United Kingdom</v>
      </c>
      <c r="G29" t="s">
        <v>634</v>
      </c>
      <c r="H29" t="s">
        <v>641</v>
      </c>
      <c r="I29">
        <v>5</v>
      </c>
      <c r="J29" s="1">
        <v>59</v>
      </c>
      <c r="K29" s="1">
        <v>30</v>
      </c>
      <c r="L29" s="2">
        <v>0.2</v>
      </c>
      <c r="M29" t="s">
        <v>643</v>
      </c>
      <c r="N29" t="str">
        <f t="shared" si="1"/>
        <v>Credit Card</v>
      </c>
      <c r="O29" t="s">
        <v>648</v>
      </c>
      <c r="P29" t="str">
        <f t="shared" si="2"/>
        <v>Completed</v>
      </c>
      <c r="Q29" t="str">
        <f t="shared" si="3"/>
        <v>Valid</v>
      </c>
      <c r="R29" t="s">
        <v>665</v>
      </c>
      <c r="S29">
        <f t="shared" si="4"/>
        <v>236</v>
      </c>
      <c r="T29">
        <f t="shared" si="5"/>
        <v>150</v>
      </c>
      <c r="U29">
        <f t="shared" si="6"/>
        <v>86</v>
      </c>
      <c r="V29" s="8">
        <f t="shared" si="7"/>
        <v>0.36440677966101692</v>
      </c>
    </row>
    <row r="30" spans="1:22" x14ac:dyDescent="0.3">
      <c r="A30" t="s">
        <v>41</v>
      </c>
      <c r="B30" s="4">
        <v>45706</v>
      </c>
      <c r="C30" t="s">
        <v>579</v>
      </c>
      <c r="D30" t="str">
        <f t="shared" si="8"/>
        <v>Olivia Davis</v>
      </c>
      <c r="E30" t="s">
        <v>617</v>
      </c>
      <c r="F30" t="str">
        <f t="shared" si="0"/>
        <v>Germany</v>
      </c>
      <c r="G30" t="s">
        <v>628</v>
      </c>
      <c r="H30" t="s">
        <v>639</v>
      </c>
      <c r="I30">
        <v>4</v>
      </c>
      <c r="J30" s="1">
        <v>18</v>
      </c>
      <c r="K30" s="1">
        <v>7</v>
      </c>
      <c r="L30" s="2">
        <v>0.1</v>
      </c>
      <c r="M30" t="s">
        <v>646</v>
      </c>
      <c r="N30" t="str">
        <f t="shared" si="1"/>
        <v>Debit Card</v>
      </c>
      <c r="O30" t="s">
        <v>648</v>
      </c>
      <c r="P30" t="str">
        <f t="shared" si="2"/>
        <v>Completed</v>
      </c>
      <c r="Q30" t="str">
        <f t="shared" si="3"/>
        <v>Valid</v>
      </c>
      <c r="R30" t="s">
        <v>665</v>
      </c>
      <c r="S30">
        <f t="shared" si="4"/>
        <v>64.8</v>
      </c>
      <c r="T30">
        <f t="shared" si="5"/>
        <v>28</v>
      </c>
      <c r="U30">
        <f t="shared" si="6"/>
        <v>36.799999999999997</v>
      </c>
      <c r="V30" s="8">
        <f t="shared" si="7"/>
        <v>0.5679012345679012</v>
      </c>
    </row>
    <row r="31" spans="1:22" x14ac:dyDescent="0.3">
      <c r="A31" t="s">
        <v>42</v>
      </c>
      <c r="B31" s="4">
        <v>45674</v>
      </c>
      <c r="C31" t="s">
        <v>580</v>
      </c>
      <c r="D31" t="str">
        <f t="shared" si="8"/>
        <v>Benjamin Walker</v>
      </c>
      <c r="E31" t="s">
        <v>618</v>
      </c>
      <c r="F31" t="str">
        <f t="shared" si="0"/>
        <v>United Kingdom</v>
      </c>
      <c r="G31" t="s">
        <v>631</v>
      </c>
      <c r="H31" t="s">
        <v>641</v>
      </c>
      <c r="I31">
        <v>5</v>
      </c>
      <c r="J31" s="1">
        <v>85</v>
      </c>
      <c r="K31" s="1">
        <v>44</v>
      </c>
      <c r="L31" s="2">
        <v>0.2</v>
      </c>
      <c r="M31" t="s">
        <v>647</v>
      </c>
      <c r="N31" t="str">
        <f t="shared" si="1"/>
        <v>Credit Card</v>
      </c>
      <c r="O31" t="s">
        <v>648</v>
      </c>
      <c r="P31" t="str">
        <f t="shared" si="2"/>
        <v>Completed</v>
      </c>
      <c r="Q31" t="str">
        <f t="shared" si="3"/>
        <v>Valid</v>
      </c>
      <c r="R31" t="s">
        <v>672</v>
      </c>
      <c r="S31">
        <f t="shared" si="4"/>
        <v>340</v>
      </c>
      <c r="T31">
        <f t="shared" si="5"/>
        <v>220</v>
      </c>
      <c r="U31">
        <f t="shared" si="6"/>
        <v>120</v>
      </c>
      <c r="V31" s="8">
        <f t="shared" si="7"/>
        <v>0.35294117647058826</v>
      </c>
    </row>
    <row r="32" spans="1:22" x14ac:dyDescent="0.3">
      <c r="A32" t="s">
        <v>43</v>
      </c>
      <c r="B32" s="4">
        <v>45778</v>
      </c>
      <c r="C32" t="s">
        <v>581</v>
      </c>
      <c r="D32" t="str">
        <f t="shared" si="8"/>
        <v>Grace Moore</v>
      </c>
      <c r="E32" t="s">
        <v>613</v>
      </c>
      <c r="F32" t="str">
        <f t="shared" si="0"/>
        <v>Singapore</v>
      </c>
      <c r="G32" t="s">
        <v>626</v>
      </c>
      <c r="H32" t="s">
        <v>638</v>
      </c>
      <c r="I32">
        <v>1</v>
      </c>
      <c r="J32" s="1">
        <v>36</v>
      </c>
      <c r="K32" s="1">
        <v>16</v>
      </c>
      <c r="L32" s="2">
        <v>0.1</v>
      </c>
      <c r="M32" t="s">
        <v>642</v>
      </c>
      <c r="N32" t="s">
        <v>644</v>
      </c>
      <c r="O32" t="s">
        <v>648</v>
      </c>
      <c r="P32" t="str">
        <f t="shared" si="2"/>
        <v>Completed</v>
      </c>
      <c r="Q32" t="str">
        <f t="shared" si="3"/>
        <v>Valid</v>
      </c>
      <c r="R32" t="s">
        <v>663</v>
      </c>
      <c r="S32">
        <f t="shared" si="4"/>
        <v>32.4</v>
      </c>
      <c r="T32">
        <f t="shared" si="5"/>
        <v>16</v>
      </c>
      <c r="U32">
        <f t="shared" si="6"/>
        <v>16.399999999999999</v>
      </c>
      <c r="V32" s="8">
        <f t="shared" si="7"/>
        <v>0.50617283950617287</v>
      </c>
    </row>
    <row r="33" spans="1:22" x14ac:dyDescent="0.3">
      <c r="A33" t="s">
        <v>44</v>
      </c>
      <c r="B33" s="4">
        <v>45811</v>
      </c>
      <c r="C33" t="s">
        <v>580</v>
      </c>
      <c r="D33" t="str">
        <f t="shared" si="8"/>
        <v>Benjamin Walker</v>
      </c>
      <c r="E33" t="s">
        <v>611</v>
      </c>
      <c r="F33" t="str">
        <f t="shared" si="0"/>
        <v>United States</v>
      </c>
      <c r="G33" t="s">
        <v>633</v>
      </c>
      <c r="H33" t="s">
        <v>638</v>
      </c>
      <c r="I33">
        <v>4</v>
      </c>
      <c r="J33" s="1">
        <v>210</v>
      </c>
      <c r="K33" s="1">
        <v>125</v>
      </c>
      <c r="L33" s="2">
        <v>0.05</v>
      </c>
      <c r="M33" t="s">
        <v>642</v>
      </c>
      <c r="N33" t="s">
        <v>644</v>
      </c>
      <c r="O33" t="s">
        <v>648</v>
      </c>
      <c r="P33" t="str">
        <f t="shared" si="2"/>
        <v>Completed</v>
      </c>
      <c r="Q33" t="str">
        <f t="shared" si="3"/>
        <v>Valid</v>
      </c>
      <c r="R33" t="s">
        <v>672</v>
      </c>
      <c r="S33">
        <f t="shared" si="4"/>
        <v>798</v>
      </c>
      <c r="T33">
        <f t="shared" si="5"/>
        <v>500</v>
      </c>
      <c r="U33">
        <f t="shared" si="6"/>
        <v>298</v>
      </c>
      <c r="V33" s="8">
        <f t="shared" si="7"/>
        <v>0.37343358395989973</v>
      </c>
    </row>
    <row r="34" spans="1:22" x14ac:dyDescent="0.3">
      <c r="A34" t="s">
        <v>45</v>
      </c>
      <c r="B34" s="4">
        <v>45747</v>
      </c>
      <c r="C34" t="s">
        <v>578</v>
      </c>
      <c r="D34" t="str">
        <f t="shared" si="8"/>
        <v>Ella Martin</v>
      </c>
      <c r="E34" t="s">
        <v>614</v>
      </c>
      <c r="F34" t="str">
        <f t="shared" si="0"/>
        <v>Australia</v>
      </c>
      <c r="G34" t="s">
        <v>636</v>
      </c>
      <c r="H34" t="s">
        <v>641</v>
      </c>
      <c r="I34">
        <v>3</v>
      </c>
      <c r="J34" s="1">
        <v>245</v>
      </c>
      <c r="K34" s="1">
        <v>150</v>
      </c>
      <c r="L34" s="2">
        <v>0.1</v>
      </c>
      <c r="M34" t="s">
        <v>645</v>
      </c>
      <c r="N34" t="str">
        <f t="shared" si="1"/>
        <v>Bank Transfer</v>
      </c>
      <c r="O34" t="s">
        <v>650</v>
      </c>
      <c r="P34" t="str">
        <f t="shared" si="2"/>
        <v>Cancelled</v>
      </c>
      <c r="Q34" t="str">
        <f t="shared" si="3"/>
        <v>Valid</v>
      </c>
      <c r="R34" t="s">
        <v>671</v>
      </c>
      <c r="S34">
        <f t="shared" si="4"/>
        <v>661.5</v>
      </c>
      <c r="T34">
        <f t="shared" si="5"/>
        <v>450</v>
      </c>
      <c r="U34">
        <f t="shared" si="6"/>
        <v>211.5</v>
      </c>
      <c r="V34" s="8">
        <f t="shared" si="7"/>
        <v>0.31972789115646261</v>
      </c>
    </row>
    <row r="35" spans="1:22" x14ac:dyDescent="0.3">
      <c r="A35" t="s">
        <v>46</v>
      </c>
      <c r="B35" s="4">
        <v>45967</v>
      </c>
      <c r="C35" t="s">
        <v>582</v>
      </c>
      <c r="D35" t="str">
        <f t="shared" si="8"/>
        <v>Alex Morgan</v>
      </c>
      <c r="E35" t="s">
        <v>611</v>
      </c>
      <c r="F35" t="str">
        <f t="shared" si="0"/>
        <v>United States</v>
      </c>
      <c r="G35" t="s">
        <v>631</v>
      </c>
      <c r="H35" t="s">
        <v>641</v>
      </c>
      <c r="I35">
        <v>4</v>
      </c>
      <c r="J35" s="1">
        <v>85</v>
      </c>
      <c r="K35" s="1">
        <v>44</v>
      </c>
      <c r="L35" s="2">
        <v>0.05</v>
      </c>
      <c r="M35" t="s">
        <v>643</v>
      </c>
      <c r="N35" t="str">
        <f t="shared" si="1"/>
        <v>Credit Card</v>
      </c>
      <c r="O35" t="s">
        <v>649</v>
      </c>
      <c r="P35" t="str">
        <f t="shared" si="2"/>
        <v>Pending</v>
      </c>
      <c r="Q35" t="str">
        <f t="shared" si="3"/>
        <v>Valid</v>
      </c>
      <c r="R35" t="s">
        <v>658</v>
      </c>
      <c r="S35">
        <f t="shared" si="4"/>
        <v>323</v>
      </c>
      <c r="T35">
        <f t="shared" si="5"/>
        <v>176</v>
      </c>
      <c r="U35">
        <f t="shared" si="6"/>
        <v>147</v>
      </c>
      <c r="V35" s="8">
        <f t="shared" si="7"/>
        <v>0.45510835913312692</v>
      </c>
    </row>
    <row r="36" spans="1:22" x14ac:dyDescent="0.3">
      <c r="A36" t="s">
        <v>47</v>
      </c>
      <c r="B36" s="4">
        <v>45938</v>
      </c>
      <c r="C36" t="s">
        <v>583</v>
      </c>
      <c r="D36" t="str">
        <f t="shared" si="8"/>
        <v>Ethan Anderson</v>
      </c>
      <c r="E36" t="s">
        <v>608</v>
      </c>
      <c r="F36" t="str">
        <f t="shared" si="0"/>
        <v>India</v>
      </c>
      <c r="G36" t="s">
        <v>628</v>
      </c>
      <c r="H36" t="s">
        <v>639</v>
      </c>
      <c r="I36">
        <v>3</v>
      </c>
      <c r="J36" s="1">
        <v>18</v>
      </c>
      <c r="K36" s="1">
        <v>7</v>
      </c>
      <c r="L36" s="2">
        <v>0</v>
      </c>
      <c r="M36" t="s">
        <v>644</v>
      </c>
      <c r="N36" t="s">
        <v>644</v>
      </c>
      <c r="O36" t="s">
        <v>650</v>
      </c>
      <c r="P36" t="str">
        <f t="shared" si="2"/>
        <v>Cancelled</v>
      </c>
      <c r="Q36" t="str">
        <f t="shared" si="3"/>
        <v>Valid</v>
      </c>
      <c r="R36" t="s">
        <v>673</v>
      </c>
      <c r="S36">
        <f t="shared" si="4"/>
        <v>54</v>
      </c>
      <c r="T36">
        <f t="shared" si="5"/>
        <v>21</v>
      </c>
      <c r="U36">
        <f t="shared" si="6"/>
        <v>33</v>
      </c>
      <c r="V36" s="8">
        <f t="shared" si="7"/>
        <v>0.61111111111111116</v>
      </c>
    </row>
    <row r="37" spans="1:22" x14ac:dyDescent="0.3">
      <c r="A37" t="s">
        <v>48</v>
      </c>
      <c r="B37" s="4">
        <v>45772</v>
      </c>
      <c r="C37" t="s">
        <v>569</v>
      </c>
      <c r="D37" t="str">
        <f t="shared" si="8"/>
        <v>Mia White</v>
      </c>
      <c r="E37" t="s">
        <v>619</v>
      </c>
      <c r="F37" t="str">
        <f t="shared" si="0"/>
        <v>India</v>
      </c>
      <c r="G37" t="s">
        <v>633</v>
      </c>
      <c r="H37" t="s">
        <v>638</v>
      </c>
      <c r="I37">
        <v>2</v>
      </c>
      <c r="J37" s="1">
        <v>210</v>
      </c>
      <c r="K37" s="1">
        <v>125</v>
      </c>
      <c r="L37" s="2">
        <v>0.15</v>
      </c>
      <c r="M37" t="s">
        <v>644</v>
      </c>
      <c r="N37" t="s">
        <v>644</v>
      </c>
      <c r="O37" t="s">
        <v>651</v>
      </c>
      <c r="P37" t="str">
        <f t="shared" si="2"/>
        <v>Shipped</v>
      </c>
      <c r="Q37" t="str">
        <f t="shared" si="3"/>
        <v>Valid</v>
      </c>
      <c r="R37" t="s">
        <v>662</v>
      </c>
      <c r="S37">
        <f t="shared" si="4"/>
        <v>357</v>
      </c>
      <c r="T37">
        <f t="shared" si="5"/>
        <v>250</v>
      </c>
      <c r="U37">
        <f t="shared" si="6"/>
        <v>107</v>
      </c>
      <c r="V37" s="8">
        <f t="shared" si="7"/>
        <v>0.29971988795518206</v>
      </c>
    </row>
    <row r="38" spans="1:22" x14ac:dyDescent="0.3">
      <c r="A38" t="s">
        <v>49</v>
      </c>
      <c r="B38" s="4">
        <v>45983</v>
      </c>
      <c r="C38" t="s">
        <v>584</v>
      </c>
      <c r="D38" t="str">
        <f t="shared" si="8"/>
        <v>James Thompson</v>
      </c>
      <c r="E38" t="s">
        <v>613</v>
      </c>
      <c r="F38" t="str">
        <f t="shared" si="0"/>
        <v>Singapore</v>
      </c>
      <c r="G38" t="s">
        <v>636</v>
      </c>
      <c r="H38" t="s">
        <v>641</v>
      </c>
      <c r="I38">
        <v>2</v>
      </c>
      <c r="J38" s="1">
        <v>245</v>
      </c>
      <c r="K38" s="1">
        <v>150</v>
      </c>
      <c r="L38" s="2">
        <v>0.1</v>
      </c>
      <c r="M38" t="s">
        <v>642</v>
      </c>
      <c r="N38" t="s">
        <v>644</v>
      </c>
      <c r="O38" t="s">
        <v>648</v>
      </c>
      <c r="P38" t="str">
        <f t="shared" si="2"/>
        <v>Completed</v>
      </c>
      <c r="Q38" t="str">
        <f t="shared" si="3"/>
        <v>Invalid</v>
      </c>
      <c r="R38" t="s">
        <v>674</v>
      </c>
      <c r="S38">
        <f t="shared" si="4"/>
        <v>441</v>
      </c>
      <c r="T38">
        <f t="shared" si="5"/>
        <v>300</v>
      </c>
      <c r="U38">
        <f t="shared" si="6"/>
        <v>141</v>
      </c>
      <c r="V38" s="8">
        <f t="shared" si="7"/>
        <v>0.31972789115646261</v>
      </c>
    </row>
    <row r="39" spans="1:22" x14ac:dyDescent="0.3">
      <c r="A39" t="s">
        <v>50</v>
      </c>
      <c r="B39" s="4">
        <v>45838</v>
      </c>
      <c r="C39" t="s">
        <v>583</v>
      </c>
      <c r="D39" t="str">
        <f t="shared" si="8"/>
        <v>Ethan Anderson</v>
      </c>
      <c r="E39" t="s">
        <v>620</v>
      </c>
      <c r="F39" t="str">
        <f t="shared" si="0"/>
        <v>India</v>
      </c>
      <c r="G39" t="s">
        <v>634</v>
      </c>
      <c r="H39" t="s">
        <v>641</v>
      </c>
      <c r="I39">
        <v>3</v>
      </c>
      <c r="J39" s="1">
        <v>59</v>
      </c>
      <c r="K39" s="1">
        <v>30</v>
      </c>
      <c r="L39" s="2">
        <v>0.15</v>
      </c>
      <c r="M39" t="s">
        <v>644</v>
      </c>
      <c r="N39" t="s">
        <v>644</v>
      </c>
      <c r="O39" t="s">
        <v>651</v>
      </c>
      <c r="P39" t="str">
        <f t="shared" si="2"/>
        <v>Shipped</v>
      </c>
      <c r="Q39" t="str">
        <f t="shared" si="3"/>
        <v>Valid</v>
      </c>
      <c r="R39" t="s">
        <v>673</v>
      </c>
      <c r="S39">
        <f t="shared" si="4"/>
        <v>150.44999999999999</v>
      </c>
      <c r="T39">
        <f t="shared" si="5"/>
        <v>90</v>
      </c>
      <c r="U39">
        <f t="shared" si="6"/>
        <v>60.449999999999989</v>
      </c>
      <c r="V39" s="8">
        <f t="shared" si="7"/>
        <v>0.40179461615154533</v>
      </c>
    </row>
    <row r="40" spans="1:22" x14ac:dyDescent="0.3">
      <c r="A40" t="s">
        <v>51</v>
      </c>
      <c r="B40" s="4">
        <v>45773</v>
      </c>
      <c r="C40" t="s">
        <v>580</v>
      </c>
      <c r="D40" t="str">
        <f t="shared" si="8"/>
        <v>Benjamin Walker</v>
      </c>
      <c r="E40" t="s">
        <v>610</v>
      </c>
      <c r="F40" t="str">
        <f t="shared" si="0"/>
        <v>United Arab Emirates</v>
      </c>
      <c r="G40" t="s">
        <v>627</v>
      </c>
      <c r="H40" t="s">
        <v>639</v>
      </c>
      <c r="I40">
        <v>5</v>
      </c>
      <c r="J40" s="1">
        <v>38</v>
      </c>
      <c r="K40" s="1">
        <v>17</v>
      </c>
      <c r="L40" s="2">
        <v>0.15</v>
      </c>
      <c r="M40" t="s">
        <v>644</v>
      </c>
      <c r="N40" t="s">
        <v>644</v>
      </c>
      <c r="O40" t="s">
        <v>648</v>
      </c>
      <c r="P40" t="str">
        <f t="shared" si="2"/>
        <v>Completed</v>
      </c>
      <c r="Q40" t="str">
        <f t="shared" si="3"/>
        <v>Valid</v>
      </c>
      <c r="R40" t="s">
        <v>672</v>
      </c>
      <c r="S40">
        <f t="shared" si="4"/>
        <v>161.5</v>
      </c>
      <c r="T40">
        <f t="shared" si="5"/>
        <v>85</v>
      </c>
      <c r="U40">
        <f t="shared" si="6"/>
        <v>76.5</v>
      </c>
      <c r="V40" s="8">
        <f t="shared" si="7"/>
        <v>0.47368421052631576</v>
      </c>
    </row>
    <row r="41" spans="1:22" x14ac:dyDescent="0.3">
      <c r="A41" t="s">
        <v>52</v>
      </c>
      <c r="B41" s="4">
        <v>45696</v>
      </c>
      <c r="C41" t="s">
        <v>583</v>
      </c>
      <c r="D41" t="str">
        <f t="shared" si="8"/>
        <v>Ethan Anderson</v>
      </c>
      <c r="E41" t="s">
        <v>603</v>
      </c>
      <c r="F41" t="str">
        <f t="shared" si="0"/>
        <v>Germany</v>
      </c>
      <c r="G41" t="s">
        <v>636</v>
      </c>
      <c r="H41" t="s">
        <v>641</v>
      </c>
      <c r="I41">
        <v>1</v>
      </c>
      <c r="J41" s="1">
        <v>245</v>
      </c>
      <c r="K41" s="1">
        <v>150</v>
      </c>
      <c r="L41" s="2">
        <v>0.05</v>
      </c>
      <c r="M41" t="s">
        <v>645</v>
      </c>
      <c r="N41" t="str">
        <f t="shared" si="1"/>
        <v>Bank Transfer</v>
      </c>
      <c r="O41" t="s">
        <v>650</v>
      </c>
      <c r="P41" t="str">
        <f t="shared" si="2"/>
        <v>Cancelled</v>
      </c>
      <c r="Q41" t="str">
        <f t="shared" si="3"/>
        <v>Valid</v>
      </c>
      <c r="R41" t="s">
        <v>673</v>
      </c>
      <c r="S41">
        <f t="shared" si="4"/>
        <v>232.75</v>
      </c>
      <c r="T41">
        <f t="shared" si="5"/>
        <v>150</v>
      </c>
      <c r="U41">
        <f t="shared" si="6"/>
        <v>82.75</v>
      </c>
      <c r="V41" s="8">
        <f t="shared" si="7"/>
        <v>0.35553168635875404</v>
      </c>
    </row>
    <row r="42" spans="1:22" x14ac:dyDescent="0.3">
      <c r="A42" t="s">
        <v>53</v>
      </c>
      <c r="B42" s="4">
        <v>45998</v>
      </c>
      <c r="C42" t="s">
        <v>564</v>
      </c>
      <c r="D42" t="str">
        <f t="shared" si="8"/>
        <v>Ava Thomas</v>
      </c>
      <c r="E42" t="s">
        <v>608</v>
      </c>
      <c r="F42" t="str">
        <f t="shared" si="0"/>
        <v>India</v>
      </c>
      <c r="G42" t="s">
        <v>631</v>
      </c>
      <c r="H42" t="s">
        <v>641</v>
      </c>
      <c r="I42">
        <v>4</v>
      </c>
      <c r="J42" s="1">
        <v>85</v>
      </c>
      <c r="K42" s="1">
        <v>44</v>
      </c>
      <c r="L42" s="2">
        <v>0</v>
      </c>
      <c r="M42" t="s">
        <v>642</v>
      </c>
      <c r="N42" t="s">
        <v>644</v>
      </c>
      <c r="O42" t="s">
        <v>650</v>
      </c>
      <c r="P42" t="str">
        <f t="shared" si="2"/>
        <v>Cancelled</v>
      </c>
      <c r="Q42" t="str">
        <f t="shared" si="3"/>
        <v>Valid</v>
      </c>
      <c r="R42" t="s">
        <v>657</v>
      </c>
      <c r="S42">
        <f t="shared" si="4"/>
        <v>340</v>
      </c>
      <c r="T42">
        <f t="shared" si="5"/>
        <v>176</v>
      </c>
      <c r="U42">
        <f t="shared" si="6"/>
        <v>164</v>
      </c>
      <c r="V42" s="8">
        <f t="shared" si="7"/>
        <v>0.4823529411764706</v>
      </c>
    </row>
    <row r="43" spans="1:22" x14ac:dyDescent="0.3">
      <c r="A43" t="s">
        <v>54</v>
      </c>
      <c r="B43" s="4">
        <v>45973</v>
      </c>
      <c r="C43" t="s">
        <v>584</v>
      </c>
      <c r="D43" t="str">
        <f t="shared" si="8"/>
        <v>James Thompson</v>
      </c>
      <c r="E43" t="s">
        <v>613</v>
      </c>
      <c r="F43" t="str">
        <f t="shared" si="0"/>
        <v>Singapore</v>
      </c>
      <c r="G43" t="s">
        <v>635</v>
      </c>
      <c r="H43" t="s">
        <v>639</v>
      </c>
      <c r="I43">
        <v>5</v>
      </c>
      <c r="J43" s="1">
        <v>65</v>
      </c>
      <c r="K43" s="1">
        <v>31</v>
      </c>
      <c r="L43" s="2">
        <v>0.15</v>
      </c>
      <c r="M43" t="s">
        <v>642</v>
      </c>
      <c r="N43" t="s">
        <v>644</v>
      </c>
      <c r="O43" t="s">
        <v>650</v>
      </c>
      <c r="P43" t="str">
        <f t="shared" si="2"/>
        <v>Cancelled</v>
      </c>
      <c r="Q43" t="str">
        <f t="shared" si="3"/>
        <v>Valid</v>
      </c>
      <c r="R43" t="s">
        <v>675</v>
      </c>
      <c r="S43">
        <f t="shared" si="4"/>
        <v>276.25</v>
      </c>
      <c r="T43">
        <f t="shared" si="5"/>
        <v>155</v>
      </c>
      <c r="U43">
        <f t="shared" si="6"/>
        <v>121.25</v>
      </c>
      <c r="V43" s="8">
        <f t="shared" si="7"/>
        <v>0.43891402714932126</v>
      </c>
    </row>
    <row r="44" spans="1:22" x14ac:dyDescent="0.3">
      <c r="A44" t="s">
        <v>55</v>
      </c>
      <c r="B44" s="4">
        <v>45839</v>
      </c>
      <c r="C44" t="s">
        <v>572</v>
      </c>
      <c r="D44" t="str">
        <f t="shared" si="8"/>
        <v>Olivia Davis</v>
      </c>
      <c r="E44" t="s">
        <v>613</v>
      </c>
      <c r="F44" t="str">
        <f t="shared" si="0"/>
        <v>Singapore</v>
      </c>
      <c r="G44" t="s">
        <v>637</v>
      </c>
      <c r="H44" t="s">
        <v>641</v>
      </c>
      <c r="I44">
        <v>2</v>
      </c>
      <c r="J44" s="1">
        <v>175</v>
      </c>
      <c r="K44" s="1">
        <v>105</v>
      </c>
      <c r="L44" s="2">
        <v>0.15</v>
      </c>
      <c r="M44" t="s">
        <v>646</v>
      </c>
      <c r="N44" t="str">
        <f t="shared" si="1"/>
        <v>Debit Card</v>
      </c>
      <c r="O44" t="s">
        <v>649</v>
      </c>
      <c r="P44" t="str">
        <f t="shared" si="2"/>
        <v>Pending</v>
      </c>
      <c r="Q44" t="str">
        <f t="shared" si="3"/>
        <v>Valid</v>
      </c>
      <c r="R44" t="s">
        <v>665</v>
      </c>
      <c r="S44">
        <f t="shared" si="4"/>
        <v>297.5</v>
      </c>
      <c r="T44">
        <f t="shared" si="5"/>
        <v>210</v>
      </c>
      <c r="U44">
        <f t="shared" si="6"/>
        <v>87.5</v>
      </c>
      <c r="V44" s="8">
        <f t="shared" si="7"/>
        <v>0.29411764705882354</v>
      </c>
    </row>
    <row r="45" spans="1:22" x14ac:dyDescent="0.3">
      <c r="A45" t="s">
        <v>56</v>
      </c>
      <c r="B45" s="4">
        <v>45696</v>
      </c>
      <c r="C45" t="s">
        <v>580</v>
      </c>
      <c r="D45" t="str">
        <f t="shared" si="8"/>
        <v>Benjamin Walker</v>
      </c>
      <c r="E45" t="s">
        <v>618</v>
      </c>
      <c r="F45" t="str">
        <f t="shared" si="0"/>
        <v>United Kingdom</v>
      </c>
      <c r="G45" t="s">
        <v>630</v>
      </c>
      <c r="H45" t="s">
        <v>640</v>
      </c>
      <c r="I45">
        <v>2</v>
      </c>
      <c r="J45" s="1">
        <v>78</v>
      </c>
      <c r="K45" s="1">
        <v>45</v>
      </c>
      <c r="L45" s="2">
        <v>0.2</v>
      </c>
      <c r="M45" t="s">
        <v>643</v>
      </c>
      <c r="N45" t="str">
        <f t="shared" si="1"/>
        <v>Credit Card</v>
      </c>
      <c r="O45" t="s">
        <v>650</v>
      </c>
      <c r="P45" t="str">
        <f t="shared" si="2"/>
        <v>Cancelled</v>
      </c>
      <c r="Q45" t="str">
        <f t="shared" si="3"/>
        <v>Valid</v>
      </c>
      <c r="R45" t="s">
        <v>672</v>
      </c>
      <c r="S45">
        <f t="shared" si="4"/>
        <v>124.80000000000001</v>
      </c>
      <c r="T45">
        <f t="shared" si="5"/>
        <v>90</v>
      </c>
      <c r="U45">
        <f t="shared" si="6"/>
        <v>34.800000000000011</v>
      </c>
      <c r="V45" s="8">
        <f t="shared" si="7"/>
        <v>0.27884615384615391</v>
      </c>
    </row>
    <row r="46" spans="1:22" x14ac:dyDescent="0.3">
      <c r="A46" t="s">
        <v>57</v>
      </c>
      <c r="B46" s="4">
        <v>45789</v>
      </c>
      <c r="C46" t="s">
        <v>577</v>
      </c>
      <c r="D46" t="str">
        <f t="shared" si="8"/>
        <v>Emma Wilson</v>
      </c>
      <c r="E46" t="s">
        <v>607</v>
      </c>
      <c r="F46" t="str">
        <f t="shared" si="0"/>
        <v>Germany</v>
      </c>
      <c r="G46" t="s">
        <v>634</v>
      </c>
      <c r="H46" t="s">
        <v>641</v>
      </c>
      <c r="I46">
        <v>1</v>
      </c>
      <c r="J46" s="1">
        <v>59</v>
      </c>
      <c r="K46" s="1">
        <v>30</v>
      </c>
      <c r="L46" s="2">
        <v>0</v>
      </c>
      <c r="M46" t="s">
        <v>645</v>
      </c>
      <c r="N46" t="str">
        <f t="shared" si="1"/>
        <v>Bank Transfer</v>
      </c>
      <c r="O46" t="s">
        <v>649</v>
      </c>
      <c r="P46" t="str">
        <f t="shared" si="2"/>
        <v>Pending</v>
      </c>
      <c r="Q46" t="str">
        <f t="shared" si="3"/>
        <v>Valid</v>
      </c>
      <c r="R46" t="s">
        <v>670</v>
      </c>
      <c r="S46">
        <f t="shared" si="4"/>
        <v>59</v>
      </c>
      <c r="T46">
        <f t="shared" si="5"/>
        <v>30</v>
      </c>
      <c r="U46">
        <f t="shared" si="6"/>
        <v>29</v>
      </c>
      <c r="V46" s="8">
        <f t="shared" si="7"/>
        <v>0.49152542372881358</v>
      </c>
    </row>
    <row r="47" spans="1:22" x14ac:dyDescent="0.3">
      <c r="A47" t="s">
        <v>58</v>
      </c>
      <c r="B47" s="4">
        <v>45930</v>
      </c>
      <c r="C47" t="s">
        <v>569</v>
      </c>
      <c r="D47" t="str">
        <f t="shared" si="8"/>
        <v>Mia White</v>
      </c>
      <c r="E47" t="s">
        <v>618</v>
      </c>
      <c r="F47" t="str">
        <f t="shared" si="0"/>
        <v>United Kingdom</v>
      </c>
      <c r="G47" t="s">
        <v>636</v>
      </c>
      <c r="H47" t="s">
        <v>641</v>
      </c>
      <c r="I47">
        <v>2</v>
      </c>
      <c r="J47" s="1">
        <v>245</v>
      </c>
      <c r="K47" s="1">
        <v>150</v>
      </c>
      <c r="L47" s="2">
        <v>0</v>
      </c>
      <c r="M47" t="s">
        <v>647</v>
      </c>
      <c r="N47" t="str">
        <f t="shared" si="1"/>
        <v>Credit Card</v>
      </c>
      <c r="O47" t="s">
        <v>648</v>
      </c>
      <c r="P47" t="str">
        <f t="shared" si="2"/>
        <v>Completed</v>
      </c>
      <c r="Q47" t="str">
        <f t="shared" si="3"/>
        <v>Valid</v>
      </c>
      <c r="R47" t="s">
        <v>662</v>
      </c>
      <c r="S47">
        <f t="shared" si="4"/>
        <v>490</v>
      </c>
      <c r="T47">
        <f t="shared" si="5"/>
        <v>300</v>
      </c>
      <c r="U47">
        <f t="shared" si="6"/>
        <v>190</v>
      </c>
      <c r="V47" s="8">
        <f t="shared" si="7"/>
        <v>0.38775510204081631</v>
      </c>
    </row>
    <row r="48" spans="1:22" x14ac:dyDescent="0.3">
      <c r="A48" t="s">
        <v>59</v>
      </c>
      <c r="B48" s="4">
        <v>45926</v>
      </c>
      <c r="C48" t="s">
        <v>571</v>
      </c>
      <c r="D48" t="str">
        <f t="shared" si="8"/>
        <v>Henry Clark</v>
      </c>
      <c r="E48" t="s">
        <v>621</v>
      </c>
      <c r="F48" t="str">
        <f t="shared" si="0"/>
        <v>Canada</v>
      </c>
      <c r="G48" t="s">
        <v>630</v>
      </c>
      <c r="H48" t="s">
        <v>640</v>
      </c>
      <c r="I48">
        <v>5</v>
      </c>
      <c r="J48" s="1">
        <v>78</v>
      </c>
      <c r="K48" s="1">
        <v>45</v>
      </c>
      <c r="L48" s="2">
        <v>0.05</v>
      </c>
      <c r="M48" t="s">
        <v>645</v>
      </c>
      <c r="N48" t="str">
        <f t="shared" si="1"/>
        <v>Bank Transfer</v>
      </c>
      <c r="O48" t="s">
        <v>648</v>
      </c>
      <c r="P48" t="str">
        <f t="shared" si="2"/>
        <v>Completed</v>
      </c>
      <c r="Q48" t="str">
        <f t="shared" si="3"/>
        <v>Invalid</v>
      </c>
      <c r="R48" t="s">
        <v>676</v>
      </c>
      <c r="S48">
        <f t="shared" si="4"/>
        <v>370.5</v>
      </c>
      <c r="T48">
        <f t="shared" si="5"/>
        <v>225</v>
      </c>
      <c r="U48">
        <f t="shared" si="6"/>
        <v>145.5</v>
      </c>
      <c r="V48" s="8">
        <f t="shared" si="7"/>
        <v>0.39271255060728744</v>
      </c>
    </row>
    <row r="49" spans="1:22" x14ac:dyDescent="0.3">
      <c r="A49" t="s">
        <v>60</v>
      </c>
      <c r="B49" s="4">
        <v>45945</v>
      </c>
      <c r="C49" t="s">
        <v>565</v>
      </c>
      <c r="D49" t="str">
        <f t="shared" si="8"/>
        <v>Alex Morgan</v>
      </c>
      <c r="E49" t="s">
        <v>612</v>
      </c>
      <c r="F49" t="str">
        <f t="shared" si="0"/>
        <v>United Kingdom</v>
      </c>
      <c r="G49" t="s">
        <v>630</v>
      </c>
      <c r="H49" t="s">
        <v>640</v>
      </c>
      <c r="I49">
        <v>3</v>
      </c>
      <c r="J49" s="1">
        <v>78</v>
      </c>
      <c r="K49" s="1">
        <v>45</v>
      </c>
      <c r="L49" s="2">
        <v>0.1</v>
      </c>
      <c r="M49" t="s">
        <v>643</v>
      </c>
      <c r="N49" t="str">
        <f t="shared" si="1"/>
        <v>Credit Card</v>
      </c>
      <c r="O49" t="s">
        <v>648</v>
      </c>
      <c r="P49" t="str">
        <f t="shared" si="2"/>
        <v>Completed</v>
      </c>
      <c r="Q49" t="str">
        <f t="shared" si="3"/>
        <v>Valid</v>
      </c>
      <c r="R49" t="s">
        <v>658</v>
      </c>
      <c r="S49">
        <f t="shared" si="4"/>
        <v>210.6</v>
      </c>
      <c r="T49">
        <f t="shared" si="5"/>
        <v>135</v>
      </c>
      <c r="U49">
        <f t="shared" si="6"/>
        <v>75.599999999999994</v>
      </c>
      <c r="V49" s="8">
        <f t="shared" si="7"/>
        <v>0.35897435897435898</v>
      </c>
    </row>
    <row r="50" spans="1:22" x14ac:dyDescent="0.3">
      <c r="A50" t="s">
        <v>61</v>
      </c>
      <c r="B50" s="4">
        <v>45841</v>
      </c>
      <c r="C50" t="s">
        <v>573</v>
      </c>
      <c r="D50" t="str">
        <f t="shared" si="8"/>
        <v>Noah Brown</v>
      </c>
      <c r="E50" t="s">
        <v>602</v>
      </c>
      <c r="F50" t="str">
        <f t="shared" si="0"/>
        <v>Australia</v>
      </c>
      <c r="G50" t="s">
        <v>629</v>
      </c>
      <c r="H50" t="s">
        <v>640</v>
      </c>
      <c r="I50">
        <v>4</v>
      </c>
      <c r="J50" s="1">
        <v>92</v>
      </c>
      <c r="K50" s="1">
        <v>53</v>
      </c>
      <c r="L50" s="2">
        <v>0.2</v>
      </c>
      <c r="M50" t="s">
        <v>646</v>
      </c>
      <c r="N50" t="str">
        <f t="shared" si="1"/>
        <v>Debit Card</v>
      </c>
      <c r="O50" t="s">
        <v>648</v>
      </c>
      <c r="P50" t="str">
        <f t="shared" si="2"/>
        <v>Completed</v>
      </c>
      <c r="Q50" t="str">
        <f t="shared" si="3"/>
        <v>Valid</v>
      </c>
      <c r="R50" t="s">
        <v>667</v>
      </c>
      <c r="S50">
        <f t="shared" si="4"/>
        <v>294.40000000000003</v>
      </c>
      <c r="T50">
        <f t="shared" si="5"/>
        <v>212</v>
      </c>
      <c r="U50">
        <f t="shared" si="6"/>
        <v>82.400000000000034</v>
      </c>
      <c r="V50" s="8">
        <f t="shared" si="7"/>
        <v>0.27989130434782616</v>
      </c>
    </row>
    <row r="51" spans="1:22" x14ac:dyDescent="0.3">
      <c r="A51" t="s">
        <v>62</v>
      </c>
      <c r="B51" s="4">
        <v>45821</v>
      </c>
      <c r="C51" t="s">
        <v>567</v>
      </c>
      <c r="D51" t="str">
        <f t="shared" si="8"/>
        <v>Sophia Taylor</v>
      </c>
      <c r="E51" t="s">
        <v>615</v>
      </c>
      <c r="F51" t="str">
        <f t="shared" si="0"/>
        <v>Canada</v>
      </c>
      <c r="G51" t="s">
        <v>626</v>
      </c>
      <c r="H51" t="s">
        <v>638</v>
      </c>
      <c r="I51">
        <v>4</v>
      </c>
      <c r="J51" s="1">
        <v>36</v>
      </c>
      <c r="K51" s="1">
        <v>16</v>
      </c>
      <c r="L51" s="2">
        <v>0</v>
      </c>
      <c r="M51" t="s">
        <v>642</v>
      </c>
      <c r="N51" t="s">
        <v>644</v>
      </c>
      <c r="O51" t="s">
        <v>652</v>
      </c>
      <c r="P51" t="str">
        <f t="shared" si="2"/>
        <v>Completed</v>
      </c>
      <c r="Q51" t="str">
        <f t="shared" si="3"/>
        <v>Valid</v>
      </c>
      <c r="R51" t="s">
        <v>660</v>
      </c>
      <c r="S51">
        <f t="shared" si="4"/>
        <v>144</v>
      </c>
      <c r="T51">
        <f t="shared" si="5"/>
        <v>64</v>
      </c>
      <c r="U51">
        <f t="shared" si="6"/>
        <v>80</v>
      </c>
      <c r="V51" s="8">
        <f t="shared" si="7"/>
        <v>0.55555555555555558</v>
      </c>
    </row>
    <row r="52" spans="1:22" x14ac:dyDescent="0.3">
      <c r="A52" t="s">
        <v>63</v>
      </c>
      <c r="B52" s="4">
        <v>45896</v>
      </c>
      <c r="C52" t="s">
        <v>568</v>
      </c>
      <c r="D52" t="str">
        <f t="shared" si="8"/>
        <v>Daniel Harris</v>
      </c>
      <c r="E52" t="s">
        <v>622</v>
      </c>
      <c r="F52" t="str">
        <f t="shared" si="0"/>
        <v>United Arab Emirates</v>
      </c>
      <c r="G52" t="s">
        <v>637</v>
      </c>
      <c r="H52" t="s">
        <v>641</v>
      </c>
      <c r="I52">
        <v>2</v>
      </c>
      <c r="J52" s="1">
        <v>175</v>
      </c>
      <c r="K52" s="1">
        <v>105</v>
      </c>
      <c r="L52" s="2">
        <v>0.05</v>
      </c>
      <c r="M52" t="s">
        <v>647</v>
      </c>
      <c r="N52" t="str">
        <f t="shared" si="1"/>
        <v>Credit Card</v>
      </c>
      <c r="O52" t="s">
        <v>651</v>
      </c>
      <c r="P52" t="str">
        <f t="shared" si="2"/>
        <v>Shipped</v>
      </c>
      <c r="Q52" t="str">
        <f t="shared" si="3"/>
        <v>Valid</v>
      </c>
      <c r="R52" t="s">
        <v>666</v>
      </c>
      <c r="S52">
        <f t="shared" si="4"/>
        <v>332.5</v>
      </c>
      <c r="T52">
        <f t="shared" si="5"/>
        <v>210</v>
      </c>
      <c r="U52">
        <f t="shared" si="6"/>
        <v>122.5</v>
      </c>
      <c r="V52" s="8">
        <f t="shared" si="7"/>
        <v>0.36842105263157893</v>
      </c>
    </row>
    <row r="53" spans="1:22" x14ac:dyDescent="0.3">
      <c r="A53" t="s">
        <v>64</v>
      </c>
      <c r="B53" s="4">
        <v>45691</v>
      </c>
      <c r="C53" t="s">
        <v>569</v>
      </c>
      <c r="D53" t="str">
        <f t="shared" si="8"/>
        <v>Mia White</v>
      </c>
      <c r="E53" t="s">
        <v>606</v>
      </c>
      <c r="F53" t="str">
        <f t="shared" si="0"/>
        <v>Canada</v>
      </c>
      <c r="G53" t="s">
        <v>634</v>
      </c>
      <c r="H53" t="s">
        <v>641</v>
      </c>
      <c r="I53">
        <v>2</v>
      </c>
      <c r="J53" s="1">
        <v>59</v>
      </c>
      <c r="K53" s="1">
        <v>30</v>
      </c>
      <c r="L53" s="2">
        <v>0.05</v>
      </c>
      <c r="M53" t="s">
        <v>643</v>
      </c>
      <c r="N53" t="str">
        <f t="shared" si="1"/>
        <v>Credit Card</v>
      </c>
      <c r="O53" t="s">
        <v>648</v>
      </c>
      <c r="P53" t="str">
        <f t="shared" si="2"/>
        <v>Completed</v>
      </c>
      <c r="Q53" t="str">
        <f t="shared" si="3"/>
        <v>Valid</v>
      </c>
      <c r="R53" t="s">
        <v>662</v>
      </c>
      <c r="S53">
        <f t="shared" si="4"/>
        <v>112.1</v>
      </c>
      <c r="T53">
        <f t="shared" si="5"/>
        <v>60</v>
      </c>
      <c r="U53">
        <f t="shared" si="6"/>
        <v>52.099999999999994</v>
      </c>
      <c r="V53" s="8">
        <f t="shared" si="7"/>
        <v>0.46476360392506688</v>
      </c>
    </row>
    <row r="54" spans="1:22" x14ac:dyDescent="0.3">
      <c r="A54" t="s">
        <v>65</v>
      </c>
      <c r="B54" s="4">
        <v>45885</v>
      </c>
      <c r="C54" t="s">
        <v>563</v>
      </c>
      <c r="D54" t="str">
        <f t="shared" si="8"/>
        <v>Liam Miller</v>
      </c>
      <c r="E54" t="s">
        <v>607</v>
      </c>
      <c r="F54" t="str">
        <f t="shared" si="0"/>
        <v>Germany</v>
      </c>
      <c r="G54" t="s">
        <v>626</v>
      </c>
      <c r="H54" t="s">
        <v>638</v>
      </c>
      <c r="I54">
        <v>2</v>
      </c>
      <c r="J54" s="1">
        <v>36</v>
      </c>
      <c r="K54" s="1">
        <v>16</v>
      </c>
      <c r="L54" s="2">
        <v>0.1</v>
      </c>
      <c r="M54" t="s">
        <v>646</v>
      </c>
      <c r="N54" t="str">
        <f t="shared" si="1"/>
        <v>Debit Card</v>
      </c>
      <c r="O54" t="s">
        <v>649</v>
      </c>
      <c r="P54" t="str">
        <f t="shared" si="2"/>
        <v>Pending</v>
      </c>
      <c r="Q54" t="str">
        <f t="shared" si="3"/>
        <v>Valid</v>
      </c>
      <c r="R54" t="s">
        <v>656</v>
      </c>
      <c r="S54">
        <f t="shared" si="4"/>
        <v>64.8</v>
      </c>
      <c r="T54">
        <f t="shared" si="5"/>
        <v>32</v>
      </c>
      <c r="U54">
        <f t="shared" si="6"/>
        <v>32.799999999999997</v>
      </c>
      <c r="V54" s="8">
        <f t="shared" si="7"/>
        <v>0.50617283950617287</v>
      </c>
    </row>
    <row r="55" spans="1:22" x14ac:dyDescent="0.3">
      <c r="A55" t="s">
        <v>66</v>
      </c>
      <c r="B55" s="4">
        <v>45919</v>
      </c>
      <c r="C55" t="s">
        <v>584</v>
      </c>
      <c r="D55" t="str">
        <f t="shared" si="8"/>
        <v>James Thompson</v>
      </c>
      <c r="E55" t="s">
        <v>619</v>
      </c>
      <c r="F55" t="str">
        <f t="shared" si="0"/>
        <v>India</v>
      </c>
      <c r="G55" t="s">
        <v>632</v>
      </c>
      <c r="H55" t="s">
        <v>639</v>
      </c>
      <c r="I55">
        <v>2</v>
      </c>
      <c r="J55" s="1">
        <v>42</v>
      </c>
      <c r="K55" s="1">
        <v>21</v>
      </c>
      <c r="L55" s="2">
        <v>0.05</v>
      </c>
      <c r="M55" t="s">
        <v>646</v>
      </c>
      <c r="N55" t="str">
        <f t="shared" si="1"/>
        <v>Debit Card</v>
      </c>
      <c r="O55" t="s">
        <v>648</v>
      </c>
      <c r="P55" t="str">
        <f t="shared" si="2"/>
        <v>Completed</v>
      </c>
      <c r="Q55" t="str">
        <f t="shared" si="3"/>
        <v>Valid</v>
      </c>
      <c r="R55" t="s">
        <v>675</v>
      </c>
      <c r="S55">
        <f t="shared" si="4"/>
        <v>79.8</v>
      </c>
      <c r="T55">
        <f t="shared" si="5"/>
        <v>42</v>
      </c>
      <c r="U55">
        <f t="shared" si="6"/>
        <v>37.799999999999997</v>
      </c>
      <c r="V55" s="8">
        <f t="shared" si="7"/>
        <v>0.47368421052631576</v>
      </c>
    </row>
    <row r="56" spans="1:22" x14ac:dyDescent="0.3">
      <c r="A56" t="s">
        <v>67</v>
      </c>
      <c r="B56" s="4">
        <v>45688</v>
      </c>
      <c r="C56" t="s">
        <v>578</v>
      </c>
      <c r="D56" t="str">
        <f t="shared" si="8"/>
        <v>Ella Martin</v>
      </c>
      <c r="E56" t="s">
        <v>608</v>
      </c>
      <c r="F56" t="str">
        <f t="shared" si="0"/>
        <v>India</v>
      </c>
      <c r="G56" t="s">
        <v>634</v>
      </c>
      <c r="H56" t="s">
        <v>641</v>
      </c>
      <c r="I56">
        <v>2</v>
      </c>
      <c r="J56" s="1">
        <v>59</v>
      </c>
      <c r="K56" s="1">
        <v>30</v>
      </c>
      <c r="L56" s="2">
        <v>0.15</v>
      </c>
      <c r="M56" t="s">
        <v>647</v>
      </c>
      <c r="N56" t="str">
        <f t="shared" si="1"/>
        <v>Credit Card</v>
      </c>
      <c r="O56" t="s">
        <v>651</v>
      </c>
      <c r="P56" t="str">
        <f t="shared" si="2"/>
        <v>Shipped</v>
      </c>
      <c r="Q56" t="str">
        <f t="shared" si="3"/>
        <v>Valid</v>
      </c>
      <c r="R56" t="s">
        <v>671</v>
      </c>
      <c r="S56">
        <f t="shared" si="4"/>
        <v>100.3</v>
      </c>
      <c r="T56">
        <f t="shared" si="5"/>
        <v>60</v>
      </c>
      <c r="U56">
        <f t="shared" si="6"/>
        <v>40.299999999999997</v>
      </c>
      <c r="V56" s="8">
        <f t="shared" si="7"/>
        <v>0.40179461615154533</v>
      </c>
    </row>
    <row r="57" spans="1:22" x14ac:dyDescent="0.3">
      <c r="A57" t="s">
        <v>68</v>
      </c>
      <c r="B57" s="4">
        <v>45700</v>
      </c>
      <c r="C57" t="s">
        <v>566</v>
      </c>
      <c r="D57" t="str">
        <f t="shared" si="8"/>
        <v>Lily Hall</v>
      </c>
      <c r="E57" t="s">
        <v>609</v>
      </c>
      <c r="F57" t="str">
        <f t="shared" si="0"/>
        <v>Singapore</v>
      </c>
      <c r="G57" t="s">
        <v>631</v>
      </c>
      <c r="H57" t="s">
        <v>641</v>
      </c>
      <c r="I57">
        <v>5</v>
      </c>
      <c r="J57" s="1">
        <v>85</v>
      </c>
      <c r="K57" s="1">
        <v>44</v>
      </c>
      <c r="L57" s="2">
        <v>0.15</v>
      </c>
      <c r="M57" t="s">
        <v>646</v>
      </c>
      <c r="N57" t="str">
        <f t="shared" si="1"/>
        <v>Debit Card</v>
      </c>
      <c r="O57" t="s">
        <v>649</v>
      </c>
      <c r="P57" t="str">
        <f t="shared" si="2"/>
        <v>Pending</v>
      </c>
      <c r="Q57" t="str">
        <f t="shared" si="3"/>
        <v>Valid</v>
      </c>
      <c r="R57" t="s">
        <v>659</v>
      </c>
      <c r="S57">
        <f t="shared" si="4"/>
        <v>361.25</v>
      </c>
      <c r="T57">
        <f t="shared" si="5"/>
        <v>220</v>
      </c>
      <c r="U57">
        <f t="shared" si="6"/>
        <v>141.25</v>
      </c>
      <c r="V57" s="8">
        <f t="shared" si="7"/>
        <v>0.39100346020761245</v>
      </c>
    </row>
    <row r="58" spans="1:22" x14ac:dyDescent="0.3">
      <c r="A58" t="s">
        <v>69</v>
      </c>
      <c r="B58" s="4">
        <v>45735</v>
      </c>
      <c r="C58" t="s">
        <v>568</v>
      </c>
      <c r="D58" t="str">
        <f t="shared" si="8"/>
        <v>Daniel Harris</v>
      </c>
      <c r="E58" t="s">
        <v>608</v>
      </c>
      <c r="F58" t="str">
        <f t="shared" si="0"/>
        <v>India</v>
      </c>
      <c r="G58" t="s">
        <v>627</v>
      </c>
      <c r="H58" t="s">
        <v>639</v>
      </c>
      <c r="I58">
        <v>4</v>
      </c>
      <c r="J58" s="1">
        <v>38</v>
      </c>
      <c r="K58" s="1">
        <v>17</v>
      </c>
      <c r="L58" s="2">
        <v>0.05</v>
      </c>
      <c r="M58" t="s">
        <v>647</v>
      </c>
      <c r="N58" t="str">
        <f t="shared" si="1"/>
        <v>Credit Card</v>
      </c>
      <c r="O58" t="s">
        <v>648</v>
      </c>
      <c r="P58" t="str">
        <f t="shared" si="2"/>
        <v>Completed</v>
      </c>
      <c r="Q58" t="str">
        <f t="shared" si="3"/>
        <v>Valid</v>
      </c>
      <c r="R58" t="s">
        <v>666</v>
      </c>
      <c r="S58">
        <f t="shared" si="4"/>
        <v>144.4</v>
      </c>
      <c r="T58">
        <f t="shared" si="5"/>
        <v>68</v>
      </c>
      <c r="U58">
        <f t="shared" si="6"/>
        <v>76.400000000000006</v>
      </c>
      <c r="V58" s="8">
        <f t="shared" si="7"/>
        <v>0.52908587257617734</v>
      </c>
    </row>
    <row r="59" spans="1:22" x14ac:dyDescent="0.3">
      <c r="A59" t="s">
        <v>70</v>
      </c>
      <c r="B59" s="4">
        <v>45903</v>
      </c>
      <c r="C59" t="s">
        <v>578</v>
      </c>
      <c r="D59" t="str">
        <f t="shared" si="8"/>
        <v>Ella Martin</v>
      </c>
      <c r="E59" t="s">
        <v>617</v>
      </c>
      <c r="F59" t="str">
        <f t="shared" si="0"/>
        <v>Germany</v>
      </c>
      <c r="G59" t="s">
        <v>626</v>
      </c>
      <c r="H59" t="s">
        <v>638</v>
      </c>
      <c r="I59">
        <v>3</v>
      </c>
      <c r="J59" s="1">
        <v>36</v>
      </c>
      <c r="K59" s="1">
        <v>16</v>
      </c>
      <c r="L59" s="2">
        <v>0.05</v>
      </c>
      <c r="M59" t="s">
        <v>644</v>
      </c>
      <c r="N59" t="s">
        <v>644</v>
      </c>
      <c r="O59" t="s">
        <v>648</v>
      </c>
      <c r="P59" t="str">
        <f t="shared" si="2"/>
        <v>Completed</v>
      </c>
      <c r="Q59" t="str">
        <f t="shared" si="3"/>
        <v>Valid</v>
      </c>
      <c r="R59" t="s">
        <v>671</v>
      </c>
      <c r="S59">
        <f t="shared" si="4"/>
        <v>102.6</v>
      </c>
      <c r="T59">
        <f t="shared" si="5"/>
        <v>48</v>
      </c>
      <c r="U59">
        <f t="shared" si="6"/>
        <v>54.599999999999994</v>
      </c>
      <c r="V59" s="8">
        <f t="shared" si="7"/>
        <v>0.53216374269005851</v>
      </c>
    </row>
    <row r="60" spans="1:22" x14ac:dyDescent="0.3">
      <c r="A60" t="s">
        <v>71</v>
      </c>
      <c r="B60" s="4">
        <v>45826</v>
      </c>
      <c r="C60" t="s">
        <v>585</v>
      </c>
      <c r="D60" t="str">
        <f t="shared" si="8"/>
        <v>Benjamin Walker</v>
      </c>
      <c r="E60" t="s">
        <v>601</v>
      </c>
      <c r="F60" t="str">
        <f t="shared" si="0"/>
        <v>United Kingdom</v>
      </c>
      <c r="G60" t="s">
        <v>637</v>
      </c>
      <c r="H60" t="s">
        <v>641</v>
      </c>
      <c r="I60">
        <v>5</v>
      </c>
      <c r="J60" s="1">
        <v>175</v>
      </c>
      <c r="K60" s="1">
        <v>105</v>
      </c>
      <c r="L60" s="2">
        <v>0.15</v>
      </c>
      <c r="M60" t="s">
        <v>647</v>
      </c>
      <c r="N60" t="str">
        <f t="shared" si="1"/>
        <v>Credit Card</v>
      </c>
      <c r="O60" t="s">
        <v>650</v>
      </c>
      <c r="P60" t="str">
        <f t="shared" si="2"/>
        <v>Cancelled</v>
      </c>
      <c r="Q60" t="str">
        <f t="shared" si="3"/>
        <v>Valid</v>
      </c>
      <c r="R60" t="s">
        <v>672</v>
      </c>
      <c r="S60">
        <f t="shared" si="4"/>
        <v>743.75</v>
      </c>
      <c r="T60">
        <f t="shared" si="5"/>
        <v>525</v>
      </c>
      <c r="U60">
        <f t="shared" si="6"/>
        <v>218.75</v>
      </c>
      <c r="V60" s="8">
        <f t="shared" si="7"/>
        <v>0.29411764705882354</v>
      </c>
    </row>
    <row r="61" spans="1:22" x14ac:dyDescent="0.3">
      <c r="A61" t="s">
        <v>72</v>
      </c>
      <c r="B61" s="4">
        <v>45861</v>
      </c>
      <c r="C61" t="s">
        <v>568</v>
      </c>
      <c r="D61" t="str">
        <f t="shared" si="8"/>
        <v>Daniel Harris</v>
      </c>
      <c r="E61" t="s">
        <v>600</v>
      </c>
      <c r="F61" t="str">
        <f t="shared" si="0"/>
        <v>Australia</v>
      </c>
      <c r="G61" t="s">
        <v>634</v>
      </c>
      <c r="H61" t="s">
        <v>641</v>
      </c>
      <c r="I61">
        <v>3</v>
      </c>
      <c r="J61" s="1">
        <v>59</v>
      </c>
      <c r="K61" s="1">
        <v>30</v>
      </c>
      <c r="L61" s="2">
        <v>0.15</v>
      </c>
      <c r="M61" t="s">
        <v>647</v>
      </c>
      <c r="N61" t="str">
        <f t="shared" si="1"/>
        <v>Credit Card</v>
      </c>
      <c r="O61" t="s">
        <v>650</v>
      </c>
      <c r="P61" t="str">
        <f t="shared" si="2"/>
        <v>Cancelled</v>
      </c>
      <c r="Q61" t="str">
        <f t="shared" si="3"/>
        <v>Valid</v>
      </c>
      <c r="R61" t="s">
        <v>666</v>
      </c>
      <c r="S61">
        <f t="shared" si="4"/>
        <v>150.44999999999999</v>
      </c>
      <c r="T61">
        <f t="shared" si="5"/>
        <v>90</v>
      </c>
      <c r="U61">
        <f t="shared" si="6"/>
        <v>60.449999999999989</v>
      </c>
      <c r="V61" s="8">
        <f t="shared" si="7"/>
        <v>0.40179461615154533</v>
      </c>
    </row>
    <row r="62" spans="1:22" x14ac:dyDescent="0.3">
      <c r="A62" t="s">
        <v>73</v>
      </c>
      <c r="B62" s="4">
        <v>45685</v>
      </c>
      <c r="C62" t="s">
        <v>575</v>
      </c>
      <c r="D62" t="str">
        <f t="shared" si="8"/>
        <v>Lucas Jackson</v>
      </c>
      <c r="F62" t="s">
        <v>717</v>
      </c>
      <c r="G62" t="s">
        <v>633</v>
      </c>
      <c r="H62" t="s">
        <v>638</v>
      </c>
      <c r="I62">
        <v>2</v>
      </c>
      <c r="J62" s="1">
        <v>210</v>
      </c>
      <c r="K62" s="1">
        <v>125</v>
      </c>
      <c r="L62" s="2">
        <v>0.05</v>
      </c>
      <c r="M62" t="s">
        <v>646</v>
      </c>
      <c r="N62" t="str">
        <f t="shared" si="1"/>
        <v>Debit Card</v>
      </c>
      <c r="O62" t="s">
        <v>648</v>
      </c>
      <c r="P62" t="str">
        <f t="shared" si="2"/>
        <v>Completed</v>
      </c>
      <c r="Q62" t="str">
        <f t="shared" si="3"/>
        <v>Valid</v>
      </c>
      <c r="R62" t="s">
        <v>668</v>
      </c>
      <c r="S62">
        <f t="shared" si="4"/>
        <v>399</v>
      </c>
      <c r="T62">
        <f t="shared" si="5"/>
        <v>250</v>
      </c>
      <c r="U62">
        <f t="shared" si="6"/>
        <v>149</v>
      </c>
      <c r="V62" s="8">
        <f t="shared" si="7"/>
        <v>0.37343358395989973</v>
      </c>
    </row>
    <row r="63" spans="1:22" x14ac:dyDescent="0.3">
      <c r="A63" t="s">
        <v>74</v>
      </c>
      <c r="B63" s="4">
        <v>45716</v>
      </c>
      <c r="C63" t="s">
        <v>586</v>
      </c>
      <c r="D63" t="str">
        <f t="shared" si="8"/>
        <v>Ella Martin</v>
      </c>
      <c r="E63" t="s">
        <v>600</v>
      </c>
      <c r="F63" t="str">
        <f t="shared" si="0"/>
        <v>Australia</v>
      </c>
      <c r="G63" t="s">
        <v>628</v>
      </c>
      <c r="H63" t="s">
        <v>639</v>
      </c>
      <c r="I63">
        <v>2</v>
      </c>
      <c r="J63" s="1">
        <v>18</v>
      </c>
      <c r="K63" s="1">
        <v>7</v>
      </c>
      <c r="L63" s="2">
        <v>0.05</v>
      </c>
      <c r="M63" t="s">
        <v>646</v>
      </c>
      <c r="N63" t="str">
        <f t="shared" si="1"/>
        <v>Debit Card</v>
      </c>
      <c r="O63" t="s">
        <v>648</v>
      </c>
      <c r="P63" t="str">
        <f t="shared" si="2"/>
        <v>Completed</v>
      </c>
      <c r="Q63" t="str">
        <f t="shared" si="3"/>
        <v>Valid</v>
      </c>
      <c r="R63" t="s">
        <v>671</v>
      </c>
      <c r="S63">
        <f t="shared" si="4"/>
        <v>34.199999999999996</v>
      </c>
      <c r="T63">
        <f t="shared" si="5"/>
        <v>14</v>
      </c>
      <c r="U63">
        <f t="shared" si="6"/>
        <v>20.199999999999996</v>
      </c>
      <c r="V63" s="8">
        <f t="shared" si="7"/>
        <v>0.59064327485380108</v>
      </c>
    </row>
    <row r="64" spans="1:22" x14ac:dyDescent="0.3">
      <c r="A64" t="s">
        <v>75</v>
      </c>
      <c r="B64" s="4">
        <v>45789</v>
      </c>
      <c r="C64" t="s">
        <v>567</v>
      </c>
      <c r="D64" t="str">
        <f t="shared" si="8"/>
        <v>Sophia Taylor</v>
      </c>
      <c r="E64" t="s">
        <v>600</v>
      </c>
      <c r="F64" t="str">
        <f t="shared" si="0"/>
        <v>Australia</v>
      </c>
      <c r="G64" t="s">
        <v>631</v>
      </c>
      <c r="H64" t="s">
        <v>641</v>
      </c>
      <c r="I64">
        <v>1</v>
      </c>
      <c r="J64" s="1">
        <v>85</v>
      </c>
      <c r="K64" s="1">
        <v>44</v>
      </c>
      <c r="L64" s="2">
        <v>0.05</v>
      </c>
      <c r="M64" t="s">
        <v>643</v>
      </c>
      <c r="N64" t="str">
        <f t="shared" si="1"/>
        <v>Credit Card</v>
      </c>
      <c r="O64" t="s">
        <v>648</v>
      </c>
      <c r="P64" t="str">
        <f t="shared" si="2"/>
        <v>Completed</v>
      </c>
      <c r="Q64" t="str">
        <f t="shared" si="3"/>
        <v>Valid</v>
      </c>
      <c r="R64" t="s">
        <v>660</v>
      </c>
      <c r="S64">
        <f t="shared" si="4"/>
        <v>80.75</v>
      </c>
      <c r="T64">
        <f t="shared" si="5"/>
        <v>44</v>
      </c>
      <c r="U64">
        <f t="shared" si="6"/>
        <v>36.75</v>
      </c>
      <c r="V64" s="8">
        <f t="shared" si="7"/>
        <v>0.45510835913312692</v>
      </c>
    </row>
    <row r="65" spans="1:22" x14ac:dyDescent="0.3">
      <c r="A65" t="s">
        <v>76</v>
      </c>
      <c r="B65" s="4">
        <v>45729</v>
      </c>
      <c r="C65" t="s">
        <v>572</v>
      </c>
      <c r="D65" t="str">
        <f t="shared" si="8"/>
        <v>Olivia Davis</v>
      </c>
      <c r="E65" t="s">
        <v>620</v>
      </c>
      <c r="F65" t="str">
        <f t="shared" si="0"/>
        <v>India</v>
      </c>
      <c r="G65" t="s">
        <v>636</v>
      </c>
      <c r="H65" t="s">
        <v>641</v>
      </c>
      <c r="I65">
        <v>4</v>
      </c>
      <c r="J65" s="1">
        <v>245</v>
      </c>
      <c r="K65" s="1">
        <v>150</v>
      </c>
      <c r="L65" s="2">
        <v>0.1</v>
      </c>
      <c r="M65" t="s">
        <v>642</v>
      </c>
      <c r="N65" t="s">
        <v>644</v>
      </c>
      <c r="O65" t="s">
        <v>648</v>
      </c>
      <c r="P65" t="str">
        <f t="shared" si="2"/>
        <v>Completed</v>
      </c>
      <c r="Q65" t="str">
        <f t="shared" si="3"/>
        <v>Valid</v>
      </c>
      <c r="R65" t="s">
        <v>665</v>
      </c>
      <c r="S65">
        <f t="shared" si="4"/>
        <v>882</v>
      </c>
      <c r="T65">
        <f t="shared" si="5"/>
        <v>600</v>
      </c>
      <c r="U65">
        <f t="shared" si="6"/>
        <v>282</v>
      </c>
      <c r="V65" s="8">
        <f t="shared" si="7"/>
        <v>0.31972789115646261</v>
      </c>
    </row>
    <row r="66" spans="1:22" x14ac:dyDescent="0.3">
      <c r="A66" t="s">
        <v>77</v>
      </c>
      <c r="B66" s="4">
        <v>45741</v>
      </c>
      <c r="C66" t="s">
        <v>566</v>
      </c>
      <c r="D66" t="str">
        <f t="shared" si="8"/>
        <v>Lily Hall</v>
      </c>
      <c r="E66" t="s">
        <v>616</v>
      </c>
      <c r="F66" t="str">
        <f t="shared" si="0"/>
        <v>United Kingdom</v>
      </c>
      <c r="G66" t="s">
        <v>629</v>
      </c>
      <c r="H66" t="s">
        <v>640</v>
      </c>
      <c r="I66">
        <v>4</v>
      </c>
      <c r="J66" s="1">
        <v>92</v>
      </c>
      <c r="K66" s="1">
        <v>53</v>
      </c>
      <c r="L66" s="2">
        <v>0.15</v>
      </c>
      <c r="M66" t="s">
        <v>645</v>
      </c>
      <c r="N66" t="str">
        <f t="shared" si="1"/>
        <v>Bank Transfer</v>
      </c>
      <c r="O66" t="s">
        <v>649</v>
      </c>
      <c r="P66" t="str">
        <f t="shared" si="2"/>
        <v>Pending</v>
      </c>
      <c r="Q66" t="str">
        <f t="shared" si="3"/>
        <v>Valid</v>
      </c>
      <c r="R66" t="s">
        <v>659</v>
      </c>
      <c r="S66">
        <f t="shared" si="4"/>
        <v>312.8</v>
      </c>
      <c r="T66">
        <f t="shared" si="5"/>
        <v>212</v>
      </c>
      <c r="U66">
        <f t="shared" si="6"/>
        <v>100.80000000000001</v>
      </c>
      <c r="V66" s="8">
        <f t="shared" si="7"/>
        <v>0.32225063938618931</v>
      </c>
    </row>
    <row r="67" spans="1:22" x14ac:dyDescent="0.3">
      <c r="A67" t="s">
        <v>78</v>
      </c>
      <c r="B67" s="4">
        <v>45715</v>
      </c>
      <c r="C67" t="s">
        <v>580</v>
      </c>
      <c r="D67" t="str">
        <f t="shared" ref="D67:D130" si="9">PROPER(TRIM(C67))</f>
        <v>Benjamin Walker</v>
      </c>
      <c r="E67" t="s">
        <v>615</v>
      </c>
      <c r="F67" t="str">
        <f t="shared" ref="F67:F130" si="10">IF(OR(UPPER(TRIM(E67))="AUS",UPPER(TRIM(E67))="AUSTRALIA"),"Australia",IF(OR(UPPER(TRIM(E67))="CAN",UPPER(TRIM(E67))="CANADA"),"Canada",IF(OR(UPPER(TRIM(E67))="DE",UPPER(TRIM(E67))="GERMANY"),"Germany",IF(OR(UPPER(TRIM(E67))="IN",UPPER(TRIM(E67))="INDIA"),"India",IF(OR(UPPER(TRIM(E67))="US",UPPER(TRIM(E67))="USA",UPPER(TRIM(E67))="UNITED STATES"),"United States",IF(OR(UPPER(TRIM(E67))="UK",UPPER(TRIM(E67))="U.K.",UPPER(TRIM(E67))="UNITED KINGDOM"),"United Kingdom",IF(OR(UPPER(TRIM(E67))="UAE",UPPER(TRIM(E67))="U.A.E.",UPPER(TRIM(E67))="UNITED ARAB EMIRATES"),"United Arab Emirates",IF(OR(UPPER(TRIM(E67))="SG",UPPER(TRIM(E67))="SINGAPORE"),"Singapore",TRIM(E67)))))))))</f>
        <v>Canada</v>
      </c>
      <c r="G67" t="s">
        <v>634</v>
      </c>
      <c r="H67" t="s">
        <v>641</v>
      </c>
      <c r="I67">
        <v>4</v>
      </c>
      <c r="J67" s="1">
        <v>59</v>
      </c>
      <c r="K67" s="1">
        <v>30</v>
      </c>
      <c r="L67" s="2">
        <v>0.1</v>
      </c>
      <c r="M67" t="s">
        <v>646</v>
      </c>
      <c r="N67" t="str">
        <f t="shared" ref="N67:N130" si="11">PROPER(TRIM(M67))</f>
        <v>Debit Card</v>
      </c>
      <c r="O67" t="s">
        <v>650</v>
      </c>
      <c r="P67" t="str">
        <f t="shared" ref="P67:P130" si="12">PROPER(TRIM(O67))</f>
        <v>Cancelled</v>
      </c>
      <c r="Q67" t="str">
        <f t="shared" ref="Q67:Q130" si="13">IF(TRIM(R67)="","Missing",IF(AND(ISNUMBER(SEARCH("@",R67)),ISNUMBER(SEARCH(".",R67,SEARCH("@",R67)+2))),"Valid","Invalid"))</f>
        <v>Valid</v>
      </c>
      <c r="R67" t="s">
        <v>672</v>
      </c>
      <c r="S67">
        <f t="shared" ref="S67:S130" si="14">I67*J67*(1-L67)</f>
        <v>212.4</v>
      </c>
      <c r="T67">
        <f t="shared" ref="T67:T130" si="15">I67*K67</f>
        <v>120</v>
      </c>
      <c r="U67">
        <f t="shared" ref="U67:U130" si="16">S67-T67</f>
        <v>92.4</v>
      </c>
      <c r="V67" s="8">
        <f t="shared" ref="V67:V130" si="17">IF(S67=0,0,U67/S67)</f>
        <v>0.43502824858757061</v>
      </c>
    </row>
    <row r="68" spans="1:22" x14ac:dyDescent="0.3">
      <c r="A68" t="s">
        <v>79</v>
      </c>
      <c r="B68" s="4">
        <v>45741</v>
      </c>
      <c r="C68" t="s">
        <v>580</v>
      </c>
      <c r="D68" t="str">
        <f t="shared" si="9"/>
        <v>Benjamin Walker</v>
      </c>
      <c r="E68" t="s">
        <v>611</v>
      </c>
      <c r="F68" t="str">
        <f t="shared" si="10"/>
        <v>United States</v>
      </c>
      <c r="G68" t="s">
        <v>637</v>
      </c>
      <c r="H68" t="s">
        <v>641</v>
      </c>
      <c r="I68">
        <v>3</v>
      </c>
      <c r="J68" s="1">
        <v>175</v>
      </c>
      <c r="K68" s="1">
        <v>105</v>
      </c>
      <c r="L68" s="2">
        <v>0</v>
      </c>
      <c r="M68" t="s">
        <v>642</v>
      </c>
      <c r="N68" t="s">
        <v>644</v>
      </c>
      <c r="O68" t="s">
        <v>648</v>
      </c>
      <c r="P68" t="str">
        <f t="shared" si="12"/>
        <v>Completed</v>
      </c>
      <c r="Q68" t="str">
        <f t="shared" si="13"/>
        <v>Valid</v>
      </c>
      <c r="R68" t="s">
        <v>672</v>
      </c>
      <c r="S68">
        <f t="shared" si="14"/>
        <v>525</v>
      </c>
      <c r="T68">
        <f t="shared" si="15"/>
        <v>315</v>
      </c>
      <c r="U68">
        <f t="shared" si="16"/>
        <v>210</v>
      </c>
      <c r="V68" s="8">
        <f t="shared" si="17"/>
        <v>0.4</v>
      </c>
    </row>
    <row r="69" spans="1:22" x14ac:dyDescent="0.3">
      <c r="A69" t="s">
        <v>80</v>
      </c>
      <c r="B69" s="4">
        <v>45991</v>
      </c>
      <c r="C69" t="s">
        <v>573</v>
      </c>
      <c r="D69" t="str">
        <f t="shared" si="9"/>
        <v>Noah Brown</v>
      </c>
      <c r="E69" t="s">
        <v>602</v>
      </c>
      <c r="F69" t="str">
        <f t="shared" si="10"/>
        <v>Australia</v>
      </c>
      <c r="G69" t="s">
        <v>636</v>
      </c>
      <c r="H69" t="s">
        <v>641</v>
      </c>
      <c r="I69">
        <v>1</v>
      </c>
      <c r="J69" s="1">
        <v>245</v>
      </c>
      <c r="K69" s="1">
        <v>150</v>
      </c>
      <c r="L69" s="2">
        <v>0.1</v>
      </c>
      <c r="M69" t="s">
        <v>647</v>
      </c>
      <c r="N69" t="str">
        <f t="shared" si="11"/>
        <v>Credit Card</v>
      </c>
      <c r="O69" t="s">
        <v>649</v>
      </c>
      <c r="P69" t="str">
        <f t="shared" si="12"/>
        <v>Pending</v>
      </c>
      <c r="Q69" t="str">
        <f t="shared" si="13"/>
        <v>Valid</v>
      </c>
      <c r="R69" t="s">
        <v>667</v>
      </c>
      <c r="S69">
        <f t="shared" si="14"/>
        <v>220.5</v>
      </c>
      <c r="T69">
        <f t="shared" si="15"/>
        <v>150</v>
      </c>
      <c r="U69">
        <f t="shared" si="16"/>
        <v>70.5</v>
      </c>
      <c r="V69" s="8">
        <f t="shared" si="17"/>
        <v>0.31972789115646261</v>
      </c>
    </row>
    <row r="70" spans="1:22" x14ac:dyDescent="0.3">
      <c r="A70" t="s">
        <v>81</v>
      </c>
      <c r="B70" s="4">
        <v>45725</v>
      </c>
      <c r="C70" t="s">
        <v>587</v>
      </c>
      <c r="D70" t="str">
        <f t="shared" si="9"/>
        <v>Henry Clark</v>
      </c>
      <c r="E70" t="s">
        <v>599</v>
      </c>
      <c r="F70" t="str">
        <f t="shared" si="10"/>
        <v>United Arab Emirates</v>
      </c>
      <c r="G70" t="s">
        <v>632</v>
      </c>
      <c r="H70" t="s">
        <v>639</v>
      </c>
      <c r="I70">
        <v>5</v>
      </c>
      <c r="J70" s="1">
        <v>42</v>
      </c>
      <c r="K70" s="1">
        <v>21</v>
      </c>
      <c r="L70" s="2">
        <v>0</v>
      </c>
      <c r="M70" t="s">
        <v>643</v>
      </c>
      <c r="N70" t="str">
        <f t="shared" si="11"/>
        <v>Credit Card</v>
      </c>
      <c r="O70" t="s">
        <v>649</v>
      </c>
      <c r="P70" t="str">
        <f t="shared" si="12"/>
        <v>Pending</v>
      </c>
      <c r="Q70" t="str">
        <f t="shared" si="13"/>
        <v>Missing</v>
      </c>
      <c r="S70">
        <f t="shared" si="14"/>
        <v>210</v>
      </c>
      <c r="T70">
        <f t="shared" si="15"/>
        <v>105</v>
      </c>
      <c r="U70">
        <f t="shared" si="16"/>
        <v>105</v>
      </c>
      <c r="V70" s="8">
        <f t="shared" si="17"/>
        <v>0.5</v>
      </c>
    </row>
    <row r="71" spans="1:22" x14ac:dyDescent="0.3">
      <c r="A71" t="s">
        <v>82</v>
      </c>
      <c r="B71" s="4">
        <v>45925</v>
      </c>
      <c r="C71" t="s">
        <v>576</v>
      </c>
      <c r="D71" t="str">
        <f t="shared" si="9"/>
        <v>Chloe Lewis</v>
      </c>
      <c r="E71" t="s">
        <v>621</v>
      </c>
      <c r="F71" t="str">
        <f t="shared" si="10"/>
        <v>Canada</v>
      </c>
      <c r="G71" t="s">
        <v>637</v>
      </c>
      <c r="H71" t="s">
        <v>641</v>
      </c>
      <c r="I71">
        <v>5</v>
      </c>
      <c r="J71" s="1">
        <v>175</v>
      </c>
      <c r="K71" s="1">
        <v>105</v>
      </c>
      <c r="L71" s="2">
        <v>0.05</v>
      </c>
      <c r="M71" t="s">
        <v>645</v>
      </c>
      <c r="N71" t="str">
        <f t="shared" si="11"/>
        <v>Bank Transfer</v>
      </c>
      <c r="O71" t="s">
        <v>649</v>
      </c>
      <c r="P71" t="str">
        <f t="shared" si="12"/>
        <v>Pending</v>
      </c>
      <c r="Q71" t="str">
        <f t="shared" si="13"/>
        <v>Valid</v>
      </c>
      <c r="R71" t="s">
        <v>669</v>
      </c>
      <c r="S71">
        <f t="shared" si="14"/>
        <v>831.25</v>
      </c>
      <c r="T71">
        <f t="shared" si="15"/>
        <v>525</v>
      </c>
      <c r="U71">
        <f t="shared" si="16"/>
        <v>306.25</v>
      </c>
      <c r="V71" s="8">
        <f t="shared" si="17"/>
        <v>0.36842105263157893</v>
      </c>
    </row>
    <row r="72" spans="1:22" x14ac:dyDescent="0.3">
      <c r="A72" t="s">
        <v>83</v>
      </c>
      <c r="B72" s="4">
        <v>45863</v>
      </c>
      <c r="C72" t="s">
        <v>588</v>
      </c>
      <c r="D72" t="str">
        <f t="shared" si="9"/>
        <v>Liam Miller</v>
      </c>
      <c r="E72" t="s">
        <v>600</v>
      </c>
      <c r="F72" t="str">
        <f t="shared" si="10"/>
        <v>Australia</v>
      </c>
      <c r="G72" t="s">
        <v>627</v>
      </c>
      <c r="H72" t="s">
        <v>639</v>
      </c>
      <c r="I72">
        <v>2</v>
      </c>
      <c r="J72" s="1">
        <v>38</v>
      </c>
      <c r="K72" s="1">
        <v>17</v>
      </c>
      <c r="L72" s="2">
        <v>0.15</v>
      </c>
      <c r="M72" t="s">
        <v>644</v>
      </c>
      <c r="N72" t="s">
        <v>644</v>
      </c>
      <c r="O72" t="s">
        <v>648</v>
      </c>
      <c r="P72" t="str">
        <f t="shared" si="12"/>
        <v>Completed</v>
      </c>
      <c r="Q72" t="str">
        <f t="shared" si="13"/>
        <v>Valid</v>
      </c>
      <c r="R72" t="s">
        <v>656</v>
      </c>
      <c r="S72">
        <f t="shared" si="14"/>
        <v>64.599999999999994</v>
      </c>
      <c r="T72">
        <f t="shared" si="15"/>
        <v>34</v>
      </c>
      <c r="U72">
        <f t="shared" si="16"/>
        <v>30.599999999999994</v>
      </c>
      <c r="V72" s="8">
        <f t="shared" si="17"/>
        <v>0.47368421052631576</v>
      </c>
    </row>
    <row r="73" spans="1:22" x14ac:dyDescent="0.3">
      <c r="A73" t="s">
        <v>84</v>
      </c>
      <c r="B73" s="4">
        <v>45853</v>
      </c>
      <c r="C73" t="s">
        <v>563</v>
      </c>
      <c r="D73" t="str">
        <f t="shared" si="9"/>
        <v>Liam Miller</v>
      </c>
      <c r="E73" t="s">
        <v>609</v>
      </c>
      <c r="F73" t="str">
        <f t="shared" si="10"/>
        <v>Singapore</v>
      </c>
      <c r="G73" t="s">
        <v>635</v>
      </c>
      <c r="H73" t="s">
        <v>639</v>
      </c>
      <c r="I73">
        <v>4</v>
      </c>
      <c r="J73" s="1">
        <v>65</v>
      </c>
      <c r="K73" s="1">
        <v>31</v>
      </c>
      <c r="L73" s="2">
        <v>0.1</v>
      </c>
      <c r="M73" t="s">
        <v>646</v>
      </c>
      <c r="N73" t="str">
        <f t="shared" si="11"/>
        <v>Debit Card</v>
      </c>
      <c r="O73" t="s">
        <v>651</v>
      </c>
      <c r="P73" t="str">
        <f t="shared" si="12"/>
        <v>Shipped</v>
      </c>
      <c r="Q73" t="str">
        <f t="shared" si="13"/>
        <v>Valid</v>
      </c>
      <c r="R73" t="s">
        <v>656</v>
      </c>
      <c r="S73">
        <f t="shared" si="14"/>
        <v>234</v>
      </c>
      <c r="T73">
        <f t="shared" si="15"/>
        <v>124</v>
      </c>
      <c r="U73">
        <f t="shared" si="16"/>
        <v>110</v>
      </c>
      <c r="V73" s="8">
        <f t="shared" si="17"/>
        <v>0.47008547008547008</v>
      </c>
    </row>
    <row r="74" spans="1:22" x14ac:dyDescent="0.3">
      <c r="A74" t="s">
        <v>85</v>
      </c>
      <c r="B74" s="4">
        <v>45860</v>
      </c>
      <c r="C74" t="s">
        <v>564</v>
      </c>
      <c r="D74" t="str">
        <f t="shared" si="9"/>
        <v>Ava Thomas</v>
      </c>
      <c r="E74" t="s">
        <v>612</v>
      </c>
      <c r="F74" t="str">
        <f t="shared" si="10"/>
        <v>United Kingdom</v>
      </c>
      <c r="G74" t="s">
        <v>628</v>
      </c>
      <c r="H74" t="s">
        <v>639</v>
      </c>
      <c r="I74">
        <v>2</v>
      </c>
      <c r="J74" s="1">
        <v>18</v>
      </c>
      <c r="K74" s="1">
        <v>7</v>
      </c>
      <c r="L74" s="2">
        <v>0</v>
      </c>
      <c r="M74" t="s">
        <v>645</v>
      </c>
      <c r="N74" t="str">
        <f t="shared" si="11"/>
        <v>Bank Transfer</v>
      </c>
      <c r="O74" t="s">
        <v>648</v>
      </c>
      <c r="P74" t="str">
        <f t="shared" si="12"/>
        <v>Completed</v>
      </c>
      <c r="Q74" t="str">
        <f t="shared" si="13"/>
        <v>Valid</v>
      </c>
      <c r="R74" t="s">
        <v>657</v>
      </c>
      <c r="S74">
        <f t="shared" si="14"/>
        <v>36</v>
      </c>
      <c r="T74">
        <f t="shared" si="15"/>
        <v>14</v>
      </c>
      <c r="U74">
        <f t="shared" si="16"/>
        <v>22</v>
      </c>
      <c r="V74" s="8">
        <f t="shared" si="17"/>
        <v>0.61111111111111116</v>
      </c>
    </row>
    <row r="75" spans="1:22" x14ac:dyDescent="0.3">
      <c r="A75" t="s">
        <v>86</v>
      </c>
      <c r="B75" s="4">
        <v>45967</v>
      </c>
      <c r="C75" t="s">
        <v>581</v>
      </c>
      <c r="D75" t="str">
        <f t="shared" si="9"/>
        <v>Grace Moore</v>
      </c>
      <c r="E75" t="s">
        <v>603</v>
      </c>
      <c r="F75" t="str">
        <f t="shared" si="10"/>
        <v>Germany</v>
      </c>
      <c r="G75" t="s">
        <v>630</v>
      </c>
      <c r="H75" t="s">
        <v>640</v>
      </c>
      <c r="I75">
        <v>1</v>
      </c>
      <c r="J75" s="1">
        <v>78</v>
      </c>
      <c r="K75" s="1">
        <v>45</v>
      </c>
      <c r="L75" s="2">
        <v>0.05</v>
      </c>
      <c r="M75" t="s">
        <v>647</v>
      </c>
      <c r="N75" t="str">
        <f t="shared" si="11"/>
        <v>Credit Card</v>
      </c>
      <c r="O75" t="s">
        <v>648</v>
      </c>
      <c r="P75" t="str">
        <f t="shared" si="12"/>
        <v>Completed</v>
      </c>
      <c r="Q75" t="str">
        <f t="shared" si="13"/>
        <v>Valid</v>
      </c>
      <c r="R75" t="s">
        <v>663</v>
      </c>
      <c r="S75">
        <f t="shared" si="14"/>
        <v>74.099999999999994</v>
      </c>
      <c r="T75">
        <f t="shared" si="15"/>
        <v>45</v>
      </c>
      <c r="U75">
        <f t="shared" si="16"/>
        <v>29.099999999999994</v>
      </c>
      <c r="V75" s="8">
        <f t="shared" si="17"/>
        <v>0.39271255060728738</v>
      </c>
    </row>
    <row r="76" spans="1:22" x14ac:dyDescent="0.3">
      <c r="A76" t="s">
        <v>87</v>
      </c>
      <c r="B76" s="4">
        <v>45787</v>
      </c>
      <c r="C76" t="s">
        <v>582</v>
      </c>
      <c r="D76" t="str">
        <f t="shared" si="9"/>
        <v>Alex Morgan</v>
      </c>
      <c r="E76" t="s">
        <v>602</v>
      </c>
      <c r="F76" t="str">
        <f t="shared" si="10"/>
        <v>Australia</v>
      </c>
      <c r="G76" t="s">
        <v>635</v>
      </c>
      <c r="H76" t="s">
        <v>639</v>
      </c>
      <c r="I76">
        <v>5</v>
      </c>
      <c r="J76" s="1">
        <v>65</v>
      </c>
      <c r="K76" s="1">
        <v>31</v>
      </c>
      <c r="L76" s="2">
        <v>0</v>
      </c>
      <c r="M76" t="s">
        <v>646</v>
      </c>
      <c r="N76" t="str">
        <f t="shared" si="11"/>
        <v>Debit Card</v>
      </c>
      <c r="O76" t="s">
        <v>650</v>
      </c>
      <c r="P76" t="str">
        <f t="shared" si="12"/>
        <v>Cancelled</v>
      </c>
      <c r="Q76" t="str">
        <f t="shared" si="13"/>
        <v>Valid</v>
      </c>
      <c r="R76" t="s">
        <v>658</v>
      </c>
      <c r="S76">
        <f t="shared" si="14"/>
        <v>325</v>
      </c>
      <c r="T76">
        <f t="shared" si="15"/>
        <v>155</v>
      </c>
      <c r="U76">
        <f t="shared" si="16"/>
        <v>170</v>
      </c>
      <c r="V76" s="8">
        <f t="shared" si="17"/>
        <v>0.52307692307692311</v>
      </c>
    </row>
    <row r="77" spans="1:22" x14ac:dyDescent="0.3">
      <c r="A77" t="s">
        <v>88</v>
      </c>
      <c r="B77" s="4">
        <v>45883</v>
      </c>
      <c r="C77" t="s">
        <v>578</v>
      </c>
      <c r="D77" t="str">
        <f t="shared" si="9"/>
        <v>Ella Martin</v>
      </c>
      <c r="E77" t="s">
        <v>609</v>
      </c>
      <c r="F77" t="str">
        <f t="shared" si="10"/>
        <v>Singapore</v>
      </c>
      <c r="G77" t="s">
        <v>636</v>
      </c>
      <c r="H77" t="s">
        <v>641</v>
      </c>
      <c r="I77">
        <v>1</v>
      </c>
      <c r="J77" s="1">
        <v>245</v>
      </c>
      <c r="K77" s="1">
        <v>150</v>
      </c>
      <c r="L77" s="2">
        <v>0.05</v>
      </c>
      <c r="M77" t="s">
        <v>642</v>
      </c>
      <c r="N77" t="s">
        <v>644</v>
      </c>
      <c r="O77" t="s">
        <v>650</v>
      </c>
      <c r="P77" t="str">
        <f t="shared" si="12"/>
        <v>Cancelled</v>
      </c>
      <c r="Q77" t="str">
        <f t="shared" si="13"/>
        <v>Valid</v>
      </c>
      <c r="R77" t="s">
        <v>671</v>
      </c>
      <c r="S77">
        <f t="shared" si="14"/>
        <v>232.75</v>
      </c>
      <c r="T77">
        <f t="shared" si="15"/>
        <v>150</v>
      </c>
      <c r="U77">
        <f t="shared" si="16"/>
        <v>82.75</v>
      </c>
      <c r="V77" s="8">
        <f t="shared" si="17"/>
        <v>0.35553168635875404</v>
      </c>
    </row>
    <row r="78" spans="1:22" x14ac:dyDescent="0.3">
      <c r="A78" t="s">
        <v>89</v>
      </c>
      <c r="B78" s="4">
        <v>45950</v>
      </c>
      <c r="C78" t="s">
        <v>566</v>
      </c>
      <c r="D78" t="str">
        <f t="shared" si="9"/>
        <v>Lily Hall</v>
      </c>
      <c r="E78" t="s">
        <v>600</v>
      </c>
      <c r="F78" t="str">
        <f t="shared" si="10"/>
        <v>Australia</v>
      </c>
      <c r="G78" t="s">
        <v>631</v>
      </c>
      <c r="H78" t="s">
        <v>641</v>
      </c>
      <c r="I78">
        <v>3</v>
      </c>
      <c r="J78" s="1">
        <v>85</v>
      </c>
      <c r="K78" s="1">
        <v>44</v>
      </c>
      <c r="L78" s="2">
        <v>0</v>
      </c>
      <c r="M78" t="s">
        <v>644</v>
      </c>
      <c r="N78" t="s">
        <v>644</v>
      </c>
      <c r="O78" t="s">
        <v>651</v>
      </c>
      <c r="P78" t="str">
        <f t="shared" si="12"/>
        <v>Shipped</v>
      </c>
      <c r="Q78" t="str">
        <f t="shared" si="13"/>
        <v>Invalid</v>
      </c>
      <c r="R78" t="s">
        <v>677</v>
      </c>
      <c r="S78">
        <f t="shared" si="14"/>
        <v>255</v>
      </c>
      <c r="T78">
        <f t="shared" si="15"/>
        <v>132</v>
      </c>
      <c r="U78">
        <f t="shared" si="16"/>
        <v>123</v>
      </c>
      <c r="V78" s="8">
        <f t="shared" si="17"/>
        <v>0.4823529411764706</v>
      </c>
    </row>
    <row r="79" spans="1:22" x14ac:dyDescent="0.3">
      <c r="A79" t="s">
        <v>90</v>
      </c>
      <c r="B79" s="4">
        <v>45814</v>
      </c>
      <c r="C79" t="s">
        <v>578</v>
      </c>
      <c r="D79" t="str">
        <f t="shared" si="9"/>
        <v>Ella Martin</v>
      </c>
      <c r="E79" t="s">
        <v>616</v>
      </c>
      <c r="F79" t="str">
        <f t="shared" si="10"/>
        <v>United Kingdom</v>
      </c>
      <c r="G79" t="s">
        <v>636</v>
      </c>
      <c r="H79" t="s">
        <v>641</v>
      </c>
      <c r="I79">
        <v>1</v>
      </c>
      <c r="J79" s="1">
        <v>245</v>
      </c>
      <c r="K79" s="1">
        <v>150</v>
      </c>
      <c r="L79" s="2">
        <v>0</v>
      </c>
      <c r="M79" t="s">
        <v>645</v>
      </c>
      <c r="N79" t="str">
        <f t="shared" si="11"/>
        <v>Bank Transfer</v>
      </c>
      <c r="O79" t="s">
        <v>651</v>
      </c>
      <c r="P79" t="str">
        <f t="shared" si="12"/>
        <v>Shipped</v>
      </c>
      <c r="Q79" t="str">
        <f t="shared" si="13"/>
        <v>Valid</v>
      </c>
      <c r="R79" t="s">
        <v>671</v>
      </c>
      <c r="S79">
        <f t="shared" si="14"/>
        <v>245</v>
      </c>
      <c r="T79">
        <f t="shared" si="15"/>
        <v>150</v>
      </c>
      <c r="U79">
        <f t="shared" si="16"/>
        <v>95</v>
      </c>
      <c r="V79" s="8">
        <f t="shared" si="17"/>
        <v>0.38775510204081631</v>
      </c>
    </row>
    <row r="80" spans="1:22" x14ac:dyDescent="0.3">
      <c r="A80" t="s">
        <v>91</v>
      </c>
      <c r="B80" s="4">
        <v>45899</v>
      </c>
      <c r="C80" t="s">
        <v>569</v>
      </c>
      <c r="D80" t="str">
        <f t="shared" si="9"/>
        <v>Mia White</v>
      </c>
      <c r="E80" t="s">
        <v>623</v>
      </c>
      <c r="F80" t="str">
        <f t="shared" si="10"/>
        <v>United States</v>
      </c>
      <c r="G80" t="s">
        <v>626</v>
      </c>
      <c r="H80" t="s">
        <v>638</v>
      </c>
      <c r="I80">
        <v>4</v>
      </c>
      <c r="J80" s="1">
        <v>36</v>
      </c>
      <c r="K80" s="1">
        <v>16</v>
      </c>
      <c r="L80" s="2">
        <v>0.1</v>
      </c>
      <c r="M80" t="s">
        <v>647</v>
      </c>
      <c r="N80" t="str">
        <f t="shared" si="11"/>
        <v>Credit Card</v>
      </c>
      <c r="O80" t="s">
        <v>651</v>
      </c>
      <c r="P80" t="str">
        <f t="shared" si="12"/>
        <v>Shipped</v>
      </c>
      <c r="Q80" t="str">
        <f t="shared" si="13"/>
        <v>Valid</v>
      </c>
      <c r="R80" t="s">
        <v>662</v>
      </c>
      <c r="S80">
        <f t="shared" si="14"/>
        <v>129.6</v>
      </c>
      <c r="T80">
        <f t="shared" si="15"/>
        <v>64</v>
      </c>
      <c r="U80">
        <f t="shared" si="16"/>
        <v>65.599999999999994</v>
      </c>
      <c r="V80" s="8">
        <f t="shared" si="17"/>
        <v>0.50617283950617287</v>
      </c>
    </row>
    <row r="81" spans="1:22" x14ac:dyDescent="0.3">
      <c r="A81" t="s">
        <v>92</v>
      </c>
      <c r="B81" s="4">
        <v>45751</v>
      </c>
      <c r="C81" t="s">
        <v>567</v>
      </c>
      <c r="D81" t="str">
        <f t="shared" si="9"/>
        <v>Sophia Taylor</v>
      </c>
      <c r="E81" t="s">
        <v>613</v>
      </c>
      <c r="F81" t="str">
        <f t="shared" si="10"/>
        <v>Singapore</v>
      </c>
      <c r="G81" t="s">
        <v>628</v>
      </c>
      <c r="H81" t="s">
        <v>639</v>
      </c>
      <c r="I81">
        <v>5</v>
      </c>
      <c r="J81" s="1">
        <v>18</v>
      </c>
      <c r="K81" s="1">
        <v>7</v>
      </c>
      <c r="L81" s="2">
        <v>0.1</v>
      </c>
      <c r="M81" t="s">
        <v>642</v>
      </c>
      <c r="N81" t="s">
        <v>644</v>
      </c>
      <c r="O81" t="s">
        <v>653</v>
      </c>
      <c r="P81" t="str">
        <f t="shared" si="12"/>
        <v>Pending</v>
      </c>
      <c r="Q81" t="str">
        <f t="shared" si="13"/>
        <v>Valid</v>
      </c>
      <c r="R81" t="s">
        <v>660</v>
      </c>
      <c r="S81">
        <f t="shared" si="14"/>
        <v>81</v>
      </c>
      <c r="T81">
        <f t="shared" si="15"/>
        <v>35</v>
      </c>
      <c r="U81">
        <f t="shared" si="16"/>
        <v>46</v>
      </c>
      <c r="V81" s="8">
        <f t="shared" si="17"/>
        <v>0.5679012345679012</v>
      </c>
    </row>
    <row r="82" spans="1:22" x14ac:dyDescent="0.3">
      <c r="A82" t="s">
        <v>93</v>
      </c>
      <c r="B82" s="4">
        <v>45803</v>
      </c>
      <c r="C82" t="s">
        <v>563</v>
      </c>
      <c r="D82" t="str">
        <f t="shared" si="9"/>
        <v>Liam Miller</v>
      </c>
      <c r="E82" t="s">
        <v>604</v>
      </c>
      <c r="F82" t="str">
        <f t="shared" si="10"/>
        <v>United States</v>
      </c>
      <c r="G82" t="s">
        <v>632</v>
      </c>
      <c r="H82" t="s">
        <v>639</v>
      </c>
      <c r="I82">
        <v>4</v>
      </c>
      <c r="J82" s="1">
        <v>42</v>
      </c>
      <c r="K82" s="1">
        <v>21</v>
      </c>
      <c r="L82" s="2">
        <v>0.1</v>
      </c>
      <c r="M82" t="s">
        <v>643</v>
      </c>
      <c r="N82" t="str">
        <f t="shared" si="11"/>
        <v>Credit Card</v>
      </c>
      <c r="O82" t="s">
        <v>648</v>
      </c>
      <c r="P82" t="str">
        <f t="shared" si="12"/>
        <v>Completed</v>
      </c>
      <c r="Q82" t="str">
        <f t="shared" si="13"/>
        <v>Valid</v>
      </c>
      <c r="R82" t="s">
        <v>656</v>
      </c>
      <c r="S82">
        <f t="shared" si="14"/>
        <v>151.20000000000002</v>
      </c>
      <c r="T82">
        <f t="shared" si="15"/>
        <v>84</v>
      </c>
      <c r="U82">
        <f t="shared" si="16"/>
        <v>67.200000000000017</v>
      </c>
      <c r="V82" s="8">
        <f t="shared" si="17"/>
        <v>0.44444444444444453</v>
      </c>
    </row>
    <row r="83" spans="1:22" x14ac:dyDescent="0.3">
      <c r="A83" t="s">
        <v>94</v>
      </c>
      <c r="B83" s="4">
        <v>45945</v>
      </c>
      <c r="C83" t="s">
        <v>570</v>
      </c>
      <c r="D83" t="str">
        <f t="shared" si="9"/>
        <v>Grace Moore</v>
      </c>
      <c r="E83" t="s">
        <v>601</v>
      </c>
      <c r="F83" t="str">
        <f t="shared" si="10"/>
        <v>United Kingdom</v>
      </c>
      <c r="G83" t="s">
        <v>628</v>
      </c>
      <c r="H83" t="s">
        <v>639</v>
      </c>
      <c r="I83">
        <v>4</v>
      </c>
      <c r="J83" s="1">
        <v>18</v>
      </c>
      <c r="K83" s="1">
        <v>7</v>
      </c>
      <c r="L83" s="2">
        <v>0.1</v>
      </c>
      <c r="N83" t="s">
        <v>717</v>
      </c>
      <c r="O83" t="s">
        <v>649</v>
      </c>
      <c r="P83" t="str">
        <f t="shared" si="12"/>
        <v>Pending</v>
      </c>
      <c r="Q83" t="str">
        <f t="shared" si="13"/>
        <v>Valid</v>
      </c>
      <c r="R83" t="s">
        <v>663</v>
      </c>
      <c r="S83">
        <f t="shared" si="14"/>
        <v>64.8</v>
      </c>
      <c r="T83">
        <f t="shared" si="15"/>
        <v>28</v>
      </c>
      <c r="U83">
        <f t="shared" si="16"/>
        <v>36.799999999999997</v>
      </c>
      <c r="V83" s="8">
        <f t="shared" si="17"/>
        <v>0.5679012345679012</v>
      </c>
    </row>
    <row r="84" spans="1:22" x14ac:dyDescent="0.3">
      <c r="A84" t="s">
        <v>95</v>
      </c>
      <c r="B84" s="4">
        <v>45960</v>
      </c>
      <c r="C84" t="s">
        <v>569</v>
      </c>
      <c r="D84" t="str">
        <f t="shared" si="9"/>
        <v>Mia White</v>
      </c>
      <c r="E84" t="s">
        <v>621</v>
      </c>
      <c r="F84" t="str">
        <f t="shared" si="10"/>
        <v>Canada</v>
      </c>
      <c r="G84" t="s">
        <v>633</v>
      </c>
      <c r="H84" t="s">
        <v>638</v>
      </c>
      <c r="I84">
        <v>1</v>
      </c>
      <c r="J84" s="1">
        <v>210</v>
      </c>
      <c r="K84" s="1">
        <v>125</v>
      </c>
      <c r="L84" s="2">
        <v>0</v>
      </c>
      <c r="M84" t="s">
        <v>642</v>
      </c>
      <c r="N84" t="s">
        <v>644</v>
      </c>
      <c r="O84" t="s">
        <v>651</v>
      </c>
      <c r="P84" t="str">
        <f t="shared" si="12"/>
        <v>Shipped</v>
      </c>
      <c r="Q84" t="str">
        <f t="shared" si="13"/>
        <v>Valid</v>
      </c>
      <c r="R84" t="s">
        <v>662</v>
      </c>
      <c r="S84">
        <f t="shared" si="14"/>
        <v>210</v>
      </c>
      <c r="T84">
        <f t="shared" si="15"/>
        <v>125</v>
      </c>
      <c r="U84">
        <f t="shared" si="16"/>
        <v>85</v>
      </c>
      <c r="V84" s="8">
        <f t="shared" si="17"/>
        <v>0.40476190476190477</v>
      </c>
    </row>
    <row r="85" spans="1:22" x14ac:dyDescent="0.3">
      <c r="A85" t="s">
        <v>96</v>
      </c>
      <c r="B85" s="4">
        <v>45776</v>
      </c>
      <c r="C85" t="s">
        <v>567</v>
      </c>
      <c r="D85" t="str">
        <f t="shared" si="9"/>
        <v>Sophia Taylor</v>
      </c>
      <c r="E85" t="s">
        <v>607</v>
      </c>
      <c r="F85" t="str">
        <f t="shared" si="10"/>
        <v>Germany</v>
      </c>
      <c r="G85" t="s">
        <v>636</v>
      </c>
      <c r="H85" t="s">
        <v>641</v>
      </c>
      <c r="I85">
        <v>3</v>
      </c>
      <c r="J85" s="1">
        <v>245</v>
      </c>
      <c r="K85" s="1">
        <v>150</v>
      </c>
      <c r="L85" s="2">
        <v>0.15</v>
      </c>
      <c r="M85" t="s">
        <v>647</v>
      </c>
      <c r="N85" t="str">
        <f t="shared" si="11"/>
        <v>Credit Card</v>
      </c>
      <c r="O85" t="s">
        <v>651</v>
      </c>
      <c r="P85" t="str">
        <f t="shared" si="12"/>
        <v>Shipped</v>
      </c>
      <c r="Q85" t="str">
        <f t="shared" si="13"/>
        <v>Valid</v>
      </c>
      <c r="R85" t="s">
        <v>660</v>
      </c>
      <c r="S85">
        <f t="shared" si="14"/>
        <v>624.75</v>
      </c>
      <c r="T85">
        <f t="shared" si="15"/>
        <v>450</v>
      </c>
      <c r="U85">
        <f t="shared" si="16"/>
        <v>174.75</v>
      </c>
      <c r="V85" s="8">
        <f t="shared" si="17"/>
        <v>0.27971188475390157</v>
      </c>
    </row>
    <row r="86" spans="1:22" x14ac:dyDescent="0.3">
      <c r="A86" t="s">
        <v>97</v>
      </c>
      <c r="B86" s="4">
        <v>45925</v>
      </c>
      <c r="C86" t="s">
        <v>568</v>
      </c>
      <c r="D86" t="str">
        <f t="shared" si="9"/>
        <v>Daniel Harris</v>
      </c>
      <c r="E86" t="s">
        <v>608</v>
      </c>
      <c r="F86" t="str">
        <f t="shared" si="10"/>
        <v>India</v>
      </c>
      <c r="G86" t="s">
        <v>630</v>
      </c>
      <c r="H86" t="s">
        <v>640</v>
      </c>
      <c r="I86">
        <v>1</v>
      </c>
      <c r="J86" s="1">
        <v>78</v>
      </c>
      <c r="K86" s="1">
        <v>45</v>
      </c>
      <c r="L86" s="2">
        <v>0.1</v>
      </c>
      <c r="M86" t="s">
        <v>646</v>
      </c>
      <c r="N86" t="str">
        <f t="shared" si="11"/>
        <v>Debit Card</v>
      </c>
      <c r="O86" t="s">
        <v>649</v>
      </c>
      <c r="P86" t="str">
        <f t="shared" si="12"/>
        <v>Pending</v>
      </c>
      <c r="Q86" t="str">
        <f t="shared" si="13"/>
        <v>Valid</v>
      </c>
      <c r="R86" t="s">
        <v>666</v>
      </c>
      <c r="S86">
        <f t="shared" si="14"/>
        <v>70.2</v>
      </c>
      <c r="T86">
        <f t="shared" si="15"/>
        <v>45</v>
      </c>
      <c r="U86">
        <f t="shared" si="16"/>
        <v>25.200000000000003</v>
      </c>
      <c r="V86" s="8">
        <f t="shared" si="17"/>
        <v>0.35897435897435898</v>
      </c>
    </row>
    <row r="87" spans="1:22" x14ac:dyDescent="0.3">
      <c r="A87" t="s">
        <v>98</v>
      </c>
      <c r="B87" s="4">
        <v>45753</v>
      </c>
      <c r="C87" t="s">
        <v>567</v>
      </c>
      <c r="D87" t="str">
        <f t="shared" si="9"/>
        <v>Sophia Taylor</v>
      </c>
      <c r="E87" t="s">
        <v>620</v>
      </c>
      <c r="F87" t="str">
        <f t="shared" si="10"/>
        <v>India</v>
      </c>
      <c r="G87" t="s">
        <v>626</v>
      </c>
      <c r="H87" t="s">
        <v>638</v>
      </c>
      <c r="I87">
        <v>1</v>
      </c>
      <c r="J87" s="1">
        <v>36</v>
      </c>
      <c r="K87" s="1">
        <v>16</v>
      </c>
      <c r="L87" s="2">
        <v>0.05</v>
      </c>
      <c r="M87" t="s">
        <v>643</v>
      </c>
      <c r="N87" t="str">
        <f t="shared" si="11"/>
        <v>Credit Card</v>
      </c>
      <c r="O87" t="s">
        <v>648</v>
      </c>
      <c r="P87" t="str">
        <f t="shared" si="12"/>
        <v>Completed</v>
      </c>
      <c r="Q87" t="str">
        <f t="shared" si="13"/>
        <v>Missing</v>
      </c>
      <c r="S87">
        <f t="shared" si="14"/>
        <v>34.199999999999996</v>
      </c>
      <c r="T87">
        <f t="shared" si="15"/>
        <v>16</v>
      </c>
      <c r="U87">
        <f t="shared" si="16"/>
        <v>18.199999999999996</v>
      </c>
      <c r="V87" s="8">
        <f t="shared" si="17"/>
        <v>0.53216374269005839</v>
      </c>
    </row>
    <row r="88" spans="1:22" x14ac:dyDescent="0.3">
      <c r="A88" t="s">
        <v>99</v>
      </c>
      <c r="B88" s="4">
        <v>45779</v>
      </c>
      <c r="C88" t="s">
        <v>575</v>
      </c>
      <c r="D88" t="str">
        <f t="shared" si="9"/>
        <v>Lucas Jackson</v>
      </c>
      <c r="E88" t="s">
        <v>607</v>
      </c>
      <c r="F88" t="str">
        <f t="shared" si="10"/>
        <v>Germany</v>
      </c>
      <c r="G88" t="s">
        <v>628</v>
      </c>
      <c r="H88" t="s">
        <v>639</v>
      </c>
      <c r="I88">
        <v>5</v>
      </c>
      <c r="J88" s="1">
        <v>18</v>
      </c>
      <c r="K88" s="1">
        <v>7</v>
      </c>
      <c r="L88" s="2">
        <v>0</v>
      </c>
      <c r="M88" t="s">
        <v>643</v>
      </c>
      <c r="N88" t="str">
        <f t="shared" si="11"/>
        <v>Credit Card</v>
      </c>
      <c r="O88" t="s">
        <v>648</v>
      </c>
      <c r="P88" t="str">
        <f t="shared" si="12"/>
        <v>Completed</v>
      </c>
      <c r="Q88" t="str">
        <f t="shared" si="13"/>
        <v>Valid</v>
      </c>
      <c r="R88" t="s">
        <v>668</v>
      </c>
      <c r="S88">
        <f t="shared" si="14"/>
        <v>90</v>
      </c>
      <c r="T88">
        <f t="shared" si="15"/>
        <v>35</v>
      </c>
      <c r="U88">
        <f t="shared" si="16"/>
        <v>55</v>
      </c>
      <c r="V88" s="8">
        <f t="shared" si="17"/>
        <v>0.61111111111111116</v>
      </c>
    </row>
    <row r="89" spans="1:22" x14ac:dyDescent="0.3">
      <c r="A89" t="s">
        <v>100</v>
      </c>
      <c r="B89" s="4">
        <v>45934</v>
      </c>
      <c r="C89" t="s">
        <v>569</v>
      </c>
      <c r="D89" t="str">
        <f t="shared" si="9"/>
        <v>Mia White</v>
      </c>
      <c r="E89" t="s">
        <v>614</v>
      </c>
      <c r="F89" t="str">
        <f t="shared" si="10"/>
        <v>Australia</v>
      </c>
      <c r="G89" t="s">
        <v>628</v>
      </c>
      <c r="H89" t="s">
        <v>639</v>
      </c>
      <c r="I89">
        <v>4</v>
      </c>
      <c r="J89" s="1">
        <v>18</v>
      </c>
      <c r="K89" s="1">
        <v>7</v>
      </c>
      <c r="L89" s="2">
        <v>0</v>
      </c>
      <c r="M89" t="s">
        <v>644</v>
      </c>
      <c r="N89" t="s">
        <v>644</v>
      </c>
      <c r="O89" t="s">
        <v>650</v>
      </c>
      <c r="P89" t="str">
        <f t="shared" si="12"/>
        <v>Cancelled</v>
      </c>
      <c r="Q89" t="str">
        <f t="shared" si="13"/>
        <v>Valid</v>
      </c>
      <c r="R89" t="s">
        <v>662</v>
      </c>
      <c r="S89">
        <f t="shared" si="14"/>
        <v>72</v>
      </c>
      <c r="T89">
        <f t="shared" si="15"/>
        <v>28</v>
      </c>
      <c r="U89">
        <f t="shared" si="16"/>
        <v>44</v>
      </c>
      <c r="V89" s="8">
        <f t="shared" si="17"/>
        <v>0.61111111111111116</v>
      </c>
    </row>
    <row r="90" spans="1:22" x14ac:dyDescent="0.3">
      <c r="A90" t="s">
        <v>101</v>
      </c>
      <c r="B90" s="4">
        <v>45990</v>
      </c>
      <c r="C90" t="s">
        <v>575</v>
      </c>
      <c r="D90" t="str">
        <f t="shared" si="9"/>
        <v>Lucas Jackson</v>
      </c>
      <c r="E90" t="s">
        <v>609</v>
      </c>
      <c r="F90" t="str">
        <f t="shared" si="10"/>
        <v>Singapore</v>
      </c>
      <c r="G90" t="s">
        <v>636</v>
      </c>
      <c r="H90" t="s">
        <v>641</v>
      </c>
      <c r="I90">
        <v>5</v>
      </c>
      <c r="J90" s="1">
        <v>245</v>
      </c>
      <c r="K90" s="1">
        <v>150</v>
      </c>
      <c r="L90" s="2">
        <v>0.2</v>
      </c>
      <c r="M90" t="s">
        <v>647</v>
      </c>
      <c r="N90" t="str">
        <f t="shared" si="11"/>
        <v>Credit Card</v>
      </c>
      <c r="O90" t="s">
        <v>650</v>
      </c>
      <c r="P90" t="str">
        <f t="shared" si="12"/>
        <v>Cancelled</v>
      </c>
      <c r="Q90" t="str">
        <f t="shared" si="13"/>
        <v>Valid</v>
      </c>
      <c r="R90" t="s">
        <v>668</v>
      </c>
      <c r="S90">
        <f t="shared" si="14"/>
        <v>980</v>
      </c>
      <c r="T90">
        <f t="shared" si="15"/>
        <v>750</v>
      </c>
      <c r="U90">
        <f t="shared" si="16"/>
        <v>230</v>
      </c>
      <c r="V90" s="8">
        <f t="shared" si="17"/>
        <v>0.23469387755102042</v>
      </c>
    </row>
    <row r="91" spans="1:22" x14ac:dyDescent="0.3">
      <c r="A91" t="s">
        <v>102</v>
      </c>
      <c r="B91" s="4">
        <v>45874</v>
      </c>
      <c r="C91" t="s">
        <v>568</v>
      </c>
      <c r="D91" t="str">
        <f t="shared" si="9"/>
        <v>Daniel Harris</v>
      </c>
      <c r="E91" t="s">
        <v>601</v>
      </c>
      <c r="F91" t="str">
        <f t="shared" si="10"/>
        <v>United Kingdom</v>
      </c>
      <c r="G91" t="s">
        <v>627</v>
      </c>
      <c r="H91" t="s">
        <v>639</v>
      </c>
      <c r="I91">
        <v>5</v>
      </c>
      <c r="J91" s="1">
        <v>38</v>
      </c>
      <c r="K91" s="1">
        <v>17</v>
      </c>
      <c r="L91" s="2">
        <v>0</v>
      </c>
      <c r="M91" t="s">
        <v>643</v>
      </c>
      <c r="N91" t="str">
        <f t="shared" si="11"/>
        <v>Credit Card</v>
      </c>
      <c r="O91" t="s">
        <v>650</v>
      </c>
      <c r="P91" t="str">
        <f t="shared" si="12"/>
        <v>Cancelled</v>
      </c>
      <c r="Q91" t="str">
        <f t="shared" si="13"/>
        <v>Valid</v>
      </c>
      <c r="R91" t="s">
        <v>666</v>
      </c>
      <c r="S91">
        <f t="shared" si="14"/>
        <v>190</v>
      </c>
      <c r="T91">
        <f t="shared" si="15"/>
        <v>85</v>
      </c>
      <c r="U91">
        <f t="shared" si="16"/>
        <v>105</v>
      </c>
      <c r="V91" s="8">
        <f t="shared" si="17"/>
        <v>0.55263157894736847</v>
      </c>
    </row>
    <row r="92" spans="1:22" x14ac:dyDescent="0.3">
      <c r="A92" t="s">
        <v>103</v>
      </c>
      <c r="B92" s="4">
        <v>46009</v>
      </c>
      <c r="C92" t="s">
        <v>569</v>
      </c>
      <c r="D92" t="str">
        <f t="shared" si="9"/>
        <v>Mia White</v>
      </c>
      <c r="E92" t="s">
        <v>616</v>
      </c>
      <c r="F92" t="str">
        <f t="shared" si="10"/>
        <v>United Kingdom</v>
      </c>
      <c r="G92" t="s">
        <v>634</v>
      </c>
      <c r="H92" t="s">
        <v>641</v>
      </c>
      <c r="I92">
        <v>3</v>
      </c>
      <c r="J92" s="1">
        <v>59</v>
      </c>
      <c r="K92" s="1">
        <v>30</v>
      </c>
      <c r="L92" s="2">
        <v>0</v>
      </c>
      <c r="M92" t="s">
        <v>647</v>
      </c>
      <c r="N92" t="str">
        <f t="shared" si="11"/>
        <v>Credit Card</v>
      </c>
      <c r="O92" t="s">
        <v>649</v>
      </c>
      <c r="P92" t="str">
        <f t="shared" si="12"/>
        <v>Pending</v>
      </c>
      <c r="Q92" t="str">
        <f t="shared" si="13"/>
        <v>Valid</v>
      </c>
      <c r="R92" t="s">
        <v>662</v>
      </c>
      <c r="S92">
        <f t="shared" si="14"/>
        <v>177</v>
      </c>
      <c r="T92">
        <f t="shared" si="15"/>
        <v>90</v>
      </c>
      <c r="U92">
        <f t="shared" si="16"/>
        <v>87</v>
      </c>
      <c r="V92" s="8">
        <f t="shared" si="17"/>
        <v>0.49152542372881358</v>
      </c>
    </row>
    <row r="93" spans="1:22" x14ac:dyDescent="0.3">
      <c r="A93" t="s">
        <v>104</v>
      </c>
      <c r="B93" s="4">
        <v>45709</v>
      </c>
      <c r="C93" t="s">
        <v>577</v>
      </c>
      <c r="D93" t="str">
        <f t="shared" si="9"/>
        <v>Emma Wilson</v>
      </c>
      <c r="E93" t="s">
        <v>609</v>
      </c>
      <c r="F93" t="str">
        <f t="shared" si="10"/>
        <v>Singapore</v>
      </c>
      <c r="G93" t="s">
        <v>632</v>
      </c>
      <c r="H93" t="s">
        <v>639</v>
      </c>
      <c r="I93">
        <v>4</v>
      </c>
      <c r="J93" s="1">
        <v>42</v>
      </c>
      <c r="K93" s="1">
        <v>21</v>
      </c>
      <c r="L93" s="2">
        <v>0.15</v>
      </c>
      <c r="M93" t="s">
        <v>645</v>
      </c>
      <c r="N93" t="str">
        <f t="shared" si="11"/>
        <v>Bank Transfer</v>
      </c>
      <c r="O93" t="s">
        <v>649</v>
      </c>
      <c r="P93" t="str">
        <f t="shared" si="12"/>
        <v>Pending</v>
      </c>
      <c r="Q93" t="str">
        <f t="shared" si="13"/>
        <v>Valid</v>
      </c>
      <c r="R93" t="s">
        <v>670</v>
      </c>
      <c r="S93">
        <f t="shared" si="14"/>
        <v>142.79999999999998</v>
      </c>
      <c r="T93">
        <f t="shared" si="15"/>
        <v>84</v>
      </c>
      <c r="U93">
        <f t="shared" si="16"/>
        <v>58.799999999999983</v>
      </c>
      <c r="V93" s="8">
        <f t="shared" si="17"/>
        <v>0.41176470588235287</v>
      </c>
    </row>
    <row r="94" spans="1:22" x14ac:dyDescent="0.3">
      <c r="A94" t="s">
        <v>105</v>
      </c>
      <c r="B94" s="4">
        <v>45874</v>
      </c>
      <c r="C94" t="s">
        <v>582</v>
      </c>
      <c r="D94" t="str">
        <f t="shared" si="9"/>
        <v>Alex Morgan</v>
      </c>
      <c r="E94" t="s">
        <v>614</v>
      </c>
      <c r="F94" t="str">
        <f t="shared" si="10"/>
        <v>Australia</v>
      </c>
      <c r="G94" t="s">
        <v>636</v>
      </c>
      <c r="H94" t="s">
        <v>641</v>
      </c>
      <c r="I94">
        <v>3</v>
      </c>
      <c r="J94" s="1">
        <v>245</v>
      </c>
      <c r="K94" s="1">
        <v>150</v>
      </c>
      <c r="L94" s="2">
        <v>0</v>
      </c>
      <c r="M94" t="s">
        <v>643</v>
      </c>
      <c r="N94" t="str">
        <f t="shared" si="11"/>
        <v>Credit Card</v>
      </c>
      <c r="O94" t="s">
        <v>648</v>
      </c>
      <c r="P94" t="str">
        <f t="shared" si="12"/>
        <v>Completed</v>
      </c>
      <c r="Q94" t="str">
        <f t="shared" si="13"/>
        <v>Valid</v>
      </c>
      <c r="R94" t="s">
        <v>658</v>
      </c>
      <c r="S94">
        <f t="shared" si="14"/>
        <v>735</v>
      </c>
      <c r="T94">
        <f t="shared" si="15"/>
        <v>450</v>
      </c>
      <c r="U94">
        <f t="shared" si="16"/>
        <v>285</v>
      </c>
      <c r="V94" s="8">
        <f t="shared" si="17"/>
        <v>0.38775510204081631</v>
      </c>
    </row>
    <row r="95" spans="1:22" x14ac:dyDescent="0.3">
      <c r="A95" t="s">
        <v>106</v>
      </c>
      <c r="B95" s="4">
        <v>45939</v>
      </c>
      <c r="C95" t="s">
        <v>575</v>
      </c>
      <c r="D95" t="str">
        <f t="shared" si="9"/>
        <v>Lucas Jackson</v>
      </c>
      <c r="E95" t="s">
        <v>599</v>
      </c>
      <c r="F95" t="str">
        <f t="shared" si="10"/>
        <v>United Arab Emirates</v>
      </c>
      <c r="G95" t="s">
        <v>636</v>
      </c>
      <c r="H95" t="s">
        <v>641</v>
      </c>
      <c r="I95">
        <v>2</v>
      </c>
      <c r="J95" s="1">
        <v>245</v>
      </c>
      <c r="K95" s="1">
        <v>150</v>
      </c>
      <c r="L95" s="2">
        <v>0.1</v>
      </c>
      <c r="M95" t="s">
        <v>642</v>
      </c>
      <c r="N95" t="s">
        <v>644</v>
      </c>
      <c r="O95" t="s">
        <v>648</v>
      </c>
      <c r="P95" t="str">
        <f t="shared" si="12"/>
        <v>Completed</v>
      </c>
      <c r="Q95" t="str">
        <f t="shared" si="13"/>
        <v>Missing</v>
      </c>
      <c r="S95">
        <f t="shared" si="14"/>
        <v>441</v>
      </c>
      <c r="T95">
        <f t="shared" si="15"/>
        <v>300</v>
      </c>
      <c r="U95">
        <f t="shared" si="16"/>
        <v>141</v>
      </c>
      <c r="V95" s="8">
        <f t="shared" si="17"/>
        <v>0.31972789115646261</v>
      </c>
    </row>
    <row r="96" spans="1:22" x14ac:dyDescent="0.3">
      <c r="A96" t="s">
        <v>107</v>
      </c>
      <c r="B96" s="4">
        <v>46002</v>
      </c>
      <c r="C96" t="s">
        <v>571</v>
      </c>
      <c r="D96" t="str">
        <f t="shared" si="9"/>
        <v>Henry Clark</v>
      </c>
      <c r="E96" t="s">
        <v>600</v>
      </c>
      <c r="F96" t="str">
        <f t="shared" si="10"/>
        <v>Australia</v>
      </c>
      <c r="G96" t="s">
        <v>626</v>
      </c>
      <c r="H96" t="s">
        <v>638</v>
      </c>
      <c r="I96">
        <v>4</v>
      </c>
      <c r="J96" s="1">
        <v>36</v>
      </c>
      <c r="K96" s="1">
        <v>16</v>
      </c>
      <c r="L96" s="2">
        <v>0</v>
      </c>
      <c r="M96" t="s">
        <v>647</v>
      </c>
      <c r="N96" t="str">
        <f t="shared" si="11"/>
        <v>Credit Card</v>
      </c>
      <c r="O96" t="s">
        <v>648</v>
      </c>
      <c r="P96" t="str">
        <f t="shared" si="12"/>
        <v>Completed</v>
      </c>
      <c r="Q96" t="str">
        <f t="shared" si="13"/>
        <v>Valid</v>
      </c>
      <c r="R96" t="s">
        <v>664</v>
      </c>
      <c r="S96">
        <f t="shared" si="14"/>
        <v>144</v>
      </c>
      <c r="T96">
        <f t="shared" si="15"/>
        <v>64</v>
      </c>
      <c r="U96">
        <f t="shared" si="16"/>
        <v>80</v>
      </c>
      <c r="V96" s="8">
        <f t="shared" si="17"/>
        <v>0.55555555555555558</v>
      </c>
    </row>
    <row r="97" spans="1:22" x14ac:dyDescent="0.3">
      <c r="A97" t="s">
        <v>108</v>
      </c>
      <c r="B97" s="4">
        <v>45873</v>
      </c>
      <c r="C97" t="s">
        <v>572</v>
      </c>
      <c r="D97" t="str">
        <f t="shared" si="9"/>
        <v>Olivia Davis</v>
      </c>
      <c r="E97" t="s">
        <v>600</v>
      </c>
      <c r="F97" t="str">
        <f t="shared" si="10"/>
        <v>Australia</v>
      </c>
      <c r="G97" t="s">
        <v>626</v>
      </c>
      <c r="H97" t="s">
        <v>638</v>
      </c>
      <c r="I97">
        <v>4</v>
      </c>
      <c r="J97" s="1">
        <v>36</v>
      </c>
      <c r="K97" s="1">
        <v>16</v>
      </c>
      <c r="L97" s="2">
        <v>0.15</v>
      </c>
      <c r="M97" t="s">
        <v>645</v>
      </c>
      <c r="N97" t="str">
        <f t="shared" si="11"/>
        <v>Bank Transfer</v>
      </c>
      <c r="O97" t="s">
        <v>648</v>
      </c>
      <c r="P97" t="str">
        <f t="shared" si="12"/>
        <v>Completed</v>
      </c>
      <c r="Q97" t="str">
        <f t="shared" si="13"/>
        <v>Valid</v>
      </c>
      <c r="R97" t="s">
        <v>665</v>
      </c>
      <c r="S97">
        <f t="shared" si="14"/>
        <v>122.39999999999999</v>
      </c>
      <c r="T97">
        <f t="shared" si="15"/>
        <v>64</v>
      </c>
      <c r="U97">
        <f t="shared" si="16"/>
        <v>58.399999999999991</v>
      </c>
      <c r="V97" s="8">
        <f t="shared" si="17"/>
        <v>0.47712418300653592</v>
      </c>
    </row>
    <row r="98" spans="1:22" x14ac:dyDescent="0.3">
      <c r="A98" t="s">
        <v>109</v>
      </c>
      <c r="B98" s="4">
        <v>45889</v>
      </c>
      <c r="C98" t="s">
        <v>576</v>
      </c>
      <c r="D98" t="str">
        <f t="shared" si="9"/>
        <v>Chloe Lewis</v>
      </c>
      <c r="F98" t="s">
        <v>717</v>
      </c>
      <c r="G98" t="s">
        <v>637</v>
      </c>
      <c r="H98" t="s">
        <v>641</v>
      </c>
      <c r="I98">
        <v>3</v>
      </c>
      <c r="J98" s="1">
        <v>175</v>
      </c>
      <c r="K98" s="1">
        <v>105</v>
      </c>
      <c r="L98" s="2">
        <v>0.1</v>
      </c>
      <c r="M98" t="s">
        <v>644</v>
      </c>
      <c r="N98" t="s">
        <v>644</v>
      </c>
      <c r="O98" t="s">
        <v>648</v>
      </c>
      <c r="P98" t="str">
        <f t="shared" si="12"/>
        <v>Completed</v>
      </c>
      <c r="Q98" t="str">
        <f t="shared" si="13"/>
        <v>Valid</v>
      </c>
      <c r="R98" t="s">
        <v>669</v>
      </c>
      <c r="S98">
        <f t="shared" si="14"/>
        <v>472.5</v>
      </c>
      <c r="T98">
        <f t="shared" si="15"/>
        <v>315</v>
      </c>
      <c r="U98">
        <f t="shared" si="16"/>
        <v>157.5</v>
      </c>
      <c r="V98" s="8">
        <f t="shared" si="17"/>
        <v>0.33333333333333331</v>
      </c>
    </row>
    <row r="99" spans="1:22" x14ac:dyDescent="0.3">
      <c r="A99" t="s">
        <v>110</v>
      </c>
      <c r="B99" s="4">
        <v>45801</v>
      </c>
      <c r="C99" t="s">
        <v>577</v>
      </c>
      <c r="D99" t="str">
        <f t="shared" si="9"/>
        <v>Emma Wilson</v>
      </c>
      <c r="E99" t="s">
        <v>620</v>
      </c>
      <c r="F99" t="str">
        <f t="shared" si="10"/>
        <v>India</v>
      </c>
      <c r="G99" t="s">
        <v>631</v>
      </c>
      <c r="H99" t="s">
        <v>641</v>
      </c>
      <c r="I99">
        <v>2</v>
      </c>
      <c r="J99" s="1">
        <v>85</v>
      </c>
      <c r="K99" s="1">
        <v>44</v>
      </c>
      <c r="L99" s="2">
        <v>0</v>
      </c>
      <c r="M99" t="s">
        <v>646</v>
      </c>
      <c r="N99" t="str">
        <f t="shared" si="11"/>
        <v>Debit Card</v>
      </c>
      <c r="O99" t="s">
        <v>649</v>
      </c>
      <c r="P99" t="str">
        <f t="shared" si="12"/>
        <v>Pending</v>
      </c>
      <c r="Q99" t="str">
        <f t="shared" si="13"/>
        <v>Valid</v>
      </c>
      <c r="R99" t="s">
        <v>670</v>
      </c>
      <c r="S99">
        <f t="shared" si="14"/>
        <v>170</v>
      </c>
      <c r="T99">
        <f t="shared" si="15"/>
        <v>88</v>
      </c>
      <c r="U99">
        <f t="shared" si="16"/>
        <v>82</v>
      </c>
      <c r="V99" s="8">
        <f t="shared" si="17"/>
        <v>0.4823529411764706</v>
      </c>
    </row>
    <row r="100" spans="1:22" x14ac:dyDescent="0.3">
      <c r="A100" t="s">
        <v>111</v>
      </c>
      <c r="B100" s="4">
        <v>45774</v>
      </c>
      <c r="C100" t="s">
        <v>583</v>
      </c>
      <c r="D100" t="str">
        <f t="shared" si="9"/>
        <v>Ethan Anderson</v>
      </c>
      <c r="E100" t="s">
        <v>616</v>
      </c>
      <c r="F100" t="str">
        <f t="shared" si="10"/>
        <v>United Kingdom</v>
      </c>
      <c r="G100" t="s">
        <v>633</v>
      </c>
      <c r="H100" t="s">
        <v>638</v>
      </c>
      <c r="I100">
        <v>3</v>
      </c>
      <c r="J100" s="1">
        <v>210</v>
      </c>
      <c r="K100" s="1">
        <v>125</v>
      </c>
      <c r="L100" s="2">
        <v>0.05</v>
      </c>
      <c r="M100" t="s">
        <v>645</v>
      </c>
      <c r="N100" t="str">
        <f t="shared" si="11"/>
        <v>Bank Transfer</v>
      </c>
      <c r="O100" t="s">
        <v>649</v>
      </c>
      <c r="P100" t="str">
        <f t="shared" si="12"/>
        <v>Pending</v>
      </c>
      <c r="Q100" t="str">
        <f t="shared" si="13"/>
        <v>Valid</v>
      </c>
      <c r="R100" t="s">
        <v>673</v>
      </c>
      <c r="S100">
        <f t="shared" si="14"/>
        <v>598.5</v>
      </c>
      <c r="T100">
        <f t="shared" si="15"/>
        <v>375</v>
      </c>
      <c r="U100">
        <f t="shared" si="16"/>
        <v>223.5</v>
      </c>
      <c r="V100" s="8">
        <f t="shared" si="17"/>
        <v>0.37343358395989973</v>
      </c>
    </row>
    <row r="101" spans="1:22" x14ac:dyDescent="0.3">
      <c r="A101" t="s">
        <v>112</v>
      </c>
      <c r="B101" s="4">
        <v>45877</v>
      </c>
      <c r="C101" t="s">
        <v>571</v>
      </c>
      <c r="D101" t="str">
        <f t="shared" si="9"/>
        <v>Henry Clark</v>
      </c>
      <c r="E101" t="s">
        <v>602</v>
      </c>
      <c r="F101" t="str">
        <f t="shared" si="10"/>
        <v>Australia</v>
      </c>
      <c r="G101" t="s">
        <v>629</v>
      </c>
      <c r="H101" t="s">
        <v>640</v>
      </c>
      <c r="I101">
        <v>3</v>
      </c>
      <c r="J101" s="1">
        <v>92</v>
      </c>
      <c r="K101" s="1">
        <v>53</v>
      </c>
      <c r="L101" s="2">
        <v>0</v>
      </c>
      <c r="M101" t="s">
        <v>646</v>
      </c>
      <c r="N101" t="str">
        <f t="shared" si="11"/>
        <v>Debit Card</v>
      </c>
      <c r="O101" t="s">
        <v>652</v>
      </c>
      <c r="P101" t="str">
        <f t="shared" si="12"/>
        <v>Completed</v>
      </c>
      <c r="Q101" t="str">
        <f t="shared" si="13"/>
        <v>Valid</v>
      </c>
      <c r="R101" t="s">
        <v>664</v>
      </c>
      <c r="S101">
        <f t="shared" si="14"/>
        <v>276</v>
      </c>
      <c r="T101">
        <f t="shared" si="15"/>
        <v>159</v>
      </c>
      <c r="U101">
        <f t="shared" si="16"/>
        <v>117</v>
      </c>
      <c r="V101" s="8">
        <f t="shared" si="17"/>
        <v>0.42391304347826086</v>
      </c>
    </row>
    <row r="102" spans="1:22" x14ac:dyDescent="0.3">
      <c r="A102" t="s">
        <v>113</v>
      </c>
      <c r="B102" s="4">
        <v>45937</v>
      </c>
      <c r="C102" t="s">
        <v>583</v>
      </c>
      <c r="D102" t="str">
        <f t="shared" si="9"/>
        <v>Ethan Anderson</v>
      </c>
      <c r="E102" t="s">
        <v>601</v>
      </c>
      <c r="F102" t="str">
        <f t="shared" si="10"/>
        <v>United Kingdom</v>
      </c>
      <c r="G102" t="s">
        <v>634</v>
      </c>
      <c r="H102" t="s">
        <v>641</v>
      </c>
      <c r="I102">
        <v>3</v>
      </c>
      <c r="J102" s="1">
        <v>59</v>
      </c>
      <c r="K102" s="1">
        <v>30</v>
      </c>
      <c r="L102" s="2">
        <v>0.05</v>
      </c>
      <c r="M102" t="s">
        <v>642</v>
      </c>
      <c r="N102" t="s">
        <v>644</v>
      </c>
      <c r="O102" t="s">
        <v>651</v>
      </c>
      <c r="P102" t="str">
        <f t="shared" si="12"/>
        <v>Shipped</v>
      </c>
      <c r="Q102" t="str">
        <f t="shared" si="13"/>
        <v>Valid</v>
      </c>
      <c r="R102" t="s">
        <v>673</v>
      </c>
      <c r="S102">
        <f t="shared" si="14"/>
        <v>168.15</v>
      </c>
      <c r="T102">
        <f t="shared" si="15"/>
        <v>90</v>
      </c>
      <c r="U102">
        <f t="shared" si="16"/>
        <v>78.150000000000006</v>
      </c>
      <c r="V102" s="8">
        <f t="shared" si="17"/>
        <v>0.46476360392506694</v>
      </c>
    </row>
    <row r="103" spans="1:22" x14ac:dyDescent="0.3">
      <c r="A103" t="s">
        <v>114</v>
      </c>
      <c r="B103" s="4">
        <v>45972</v>
      </c>
      <c r="C103" t="s">
        <v>569</v>
      </c>
      <c r="D103" t="str">
        <f t="shared" si="9"/>
        <v>Mia White</v>
      </c>
      <c r="E103" t="s">
        <v>616</v>
      </c>
      <c r="F103" t="str">
        <f t="shared" si="10"/>
        <v>United Kingdom</v>
      </c>
      <c r="G103" t="s">
        <v>626</v>
      </c>
      <c r="H103" t="s">
        <v>638</v>
      </c>
      <c r="I103">
        <v>5</v>
      </c>
      <c r="J103" s="1">
        <v>36</v>
      </c>
      <c r="K103" s="1">
        <v>16</v>
      </c>
      <c r="L103" s="2">
        <v>0</v>
      </c>
      <c r="M103" t="s">
        <v>645</v>
      </c>
      <c r="N103" t="str">
        <f t="shared" si="11"/>
        <v>Bank Transfer</v>
      </c>
      <c r="O103" t="s">
        <v>649</v>
      </c>
      <c r="P103" t="str">
        <f t="shared" si="12"/>
        <v>Pending</v>
      </c>
      <c r="Q103" t="str">
        <f t="shared" si="13"/>
        <v>Valid</v>
      </c>
      <c r="R103" t="s">
        <v>662</v>
      </c>
      <c r="S103">
        <f t="shared" si="14"/>
        <v>180</v>
      </c>
      <c r="T103">
        <f t="shared" si="15"/>
        <v>80</v>
      </c>
      <c r="U103">
        <f t="shared" si="16"/>
        <v>100</v>
      </c>
      <c r="V103" s="8">
        <f t="shared" si="17"/>
        <v>0.55555555555555558</v>
      </c>
    </row>
    <row r="104" spans="1:22" x14ac:dyDescent="0.3">
      <c r="A104" t="s">
        <v>115</v>
      </c>
      <c r="B104" s="4">
        <v>45661</v>
      </c>
      <c r="C104" t="s">
        <v>568</v>
      </c>
      <c r="D104" t="str">
        <f t="shared" si="9"/>
        <v>Daniel Harris</v>
      </c>
      <c r="E104" t="s">
        <v>617</v>
      </c>
      <c r="F104" t="str">
        <f t="shared" si="10"/>
        <v>Germany</v>
      </c>
      <c r="G104" t="s">
        <v>637</v>
      </c>
      <c r="H104" t="s">
        <v>641</v>
      </c>
      <c r="I104">
        <v>3</v>
      </c>
      <c r="J104" s="1">
        <v>175</v>
      </c>
      <c r="K104" s="1">
        <v>105</v>
      </c>
      <c r="L104" s="2">
        <v>0</v>
      </c>
      <c r="M104" t="s">
        <v>644</v>
      </c>
      <c r="N104" t="s">
        <v>644</v>
      </c>
      <c r="O104" t="s">
        <v>648</v>
      </c>
      <c r="P104" t="str">
        <f t="shared" si="12"/>
        <v>Completed</v>
      </c>
      <c r="Q104" t="str">
        <f t="shared" si="13"/>
        <v>Valid</v>
      </c>
      <c r="R104" t="s">
        <v>666</v>
      </c>
      <c r="S104">
        <f t="shared" si="14"/>
        <v>525</v>
      </c>
      <c r="T104">
        <f t="shared" si="15"/>
        <v>315</v>
      </c>
      <c r="U104">
        <f t="shared" si="16"/>
        <v>210</v>
      </c>
      <c r="V104" s="8">
        <f t="shared" si="17"/>
        <v>0.4</v>
      </c>
    </row>
    <row r="105" spans="1:22" x14ac:dyDescent="0.3">
      <c r="A105" t="s">
        <v>116</v>
      </c>
      <c r="B105" s="4">
        <v>45756</v>
      </c>
      <c r="C105" t="s">
        <v>580</v>
      </c>
      <c r="D105" t="str">
        <f t="shared" si="9"/>
        <v>Benjamin Walker</v>
      </c>
      <c r="E105" t="s">
        <v>602</v>
      </c>
      <c r="F105" t="str">
        <f t="shared" si="10"/>
        <v>Australia</v>
      </c>
      <c r="G105" t="s">
        <v>626</v>
      </c>
      <c r="H105" t="s">
        <v>638</v>
      </c>
      <c r="I105">
        <v>4</v>
      </c>
      <c r="J105" s="1">
        <v>36</v>
      </c>
      <c r="K105" s="1">
        <v>16</v>
      </c>
      <c r="L105" s="2">
        <v>0.05</v>
      </c>
      <c r="M105" t="s">
        <v>645</v>
      </c>
      <c r="N105" t="str">
        <f t="shared" si="11"/>
        <v>Bank Transfer</v>
      </c>
      <c r="O105" t="s">
        <v>648</v>
      </c>
      <c r="P105" t="str">
        <f t="shared" si="12"/>
        <v>Completed</v>
      </c>
      <c r="Q105" t="str">
        <f t="shared" si="13"/>
        <v>Valid</v>
      </c>
      <c r="R105" t="s">
        <v>672</v>
      </c>
      <c r="S105">
        <f t="shared" si="14"/>
        <v>136.79999999999998</v>
      </c>
      <c r="T105">
        <f t="shared" si="15"/>
        <v>64</v>
      </c>
      <c r="U105">
        <f t="shared" si="16"/>
        <v>72.799999999999983</v>
      </c>
      <c r="V105" s="8">
        <f t="shared" si="17"/>
        <v>0.53216374269005839</v>
      </c>
    </row>
    <row r="106" spans="1:22" x14ac:dyDescent="0.3">
      <c r="A106" t="s">
        <v>117</v>
      </c>
      <c r="B106" s="4">
        <v>45771</v>
      </c>
      <c r="C106" t="s">
        <v>568</v>
      </c>
      <c r="D106" t="str">
        <f t="shared" si="9"/>
        <v>Daniel Harris</v>
      </c>
      <c r="E106" t="s">
        <v>603</v>
      </c>
      <c r="F106" t="str">
        <f t="shared" si="10"/>
        <v>Germany</v>
      </c>
      <c r="G106" t="s">
        <v>631</v>
      </c>
      <c r="H106" t="s">
        <v>641</v>
      </c>
      <c r="I106">
        <v>2</v>
      </c>
      <c r="J106" s="1">
        <v>85</v>
      </c>
      <c r="K106" s="1">
        <v>44</v>
      </c>
      <c r="L106" s="2">
        <v>0.1</v>
      </c>
      <c r="M106" t="s">
        <v>647</v>
      </c>
      <c r="N106" t="str">
        <f t="shared" si="11"/>
        <v>Credit Card</v>
      </c>
      <c r="O106" t="s">
        <v>648</v>
      </c>
      <c r="P106" t="str">
        <f t="shared" si="12"/>
        <v>Completed</v>
      </c>
      <c r="Q106" t="str">
        <f t="shared" si="13"/>
        <v>Valid</v>
      </c>
      <c r="R106" t="s">
        <v>666</v>
      </c>
      <c r="S106">
        <f t="shared" si="14"/>
        <v>153</v>
      </c>
      <c r="T106">
        <f t="shared" si="15"/>
        <v>88</v>
      </c>
      <c r="U106">
        <f t="shared" si="16"/>
        <v>65</v>
      </c>
      <c r="V106" s="8">
        <f t="shared" si="17"/>
        <v>0.42483660130718953</v>
      </c>
    </row>
    <row r="107" spans="1:22" x14ac:dyDescent="0.3">
      <c r="A107" t="s">
        <v>118</v>
      </c>
      <c r="B107" s="4">
        <v>45806</v>
      </c>
      <c r="C107" t="s">
        <v>577</v>
      </c>
      <c r="D107" t="str">
        <f t="shared" si="9"/>
        <v>Emma Wilson</v>
      </c>
      <c r="E107" t="s">
        <v>603</v>
      </c>
      <c r="F107" t="str">
        <f t="shared" si="10"/>
        <v>Germany</v>
      </c>
      <c r="G107" t="s">
        <v>635</v>
      </c>
      <c r="H107" t="s">
        <v>639</v>
      </c>
      <c r="I107">
        <v>1</v>
      </c>
      <c r="J107" s="1">
        <v>65</v>
      </c>
      <c r="K107" s="1">
        <v>31</v>
      </c>
      <c r="L107" s="2">
        <v>0.1</v>
      </c>
      <c r="M107" t="s">
        <v>642</v>
      </c>
      <c r="N107" t="s">
        <v>644</v>
      </c>
      <c r="O107" t="s">
        <v>648</v>
      </c>
      <c r="P107" t="str">
        <f t="shared" si="12"/>
        <v>Completed</v>
      </c>
      <c r="Q107" t="str">
        <f t="shared" si="13"/>
        <v>Invalid</v>
      </c>
      <c r="R107" t="s">
        <v>678</v>
      </c>
      <c r="S107">
        <f t="shared" si="14"/>
        <v>58.5</v>
      </c>
      <c r="T107">
        <f t="shared" si="15"/>
        <v>31</v>
      </c>
      <c r="U107">
        <f t="shared" si="16"/>
        <v>27.5</v>
      </c>
      <c r="V107" s="8">
        <f t="shared" si="17"/>
        <v>0.47008547008547008</v>
      </c>
    </row>
    <row r="108" spans="1:22" x14ac:dyDescent="0.3">
      <c r="A108" t="s">
        <v>119</v>
      </c>
      <c r="B108" s="4">
        <v>45871</v>
      </c>
      <c r="C108" t="s">
        <v>589</v>
      </c>
      <c r="D108" t="str">
        <f t="shared" si="9"/>
        <v>Daniel Harris</v>
      </c>
      <c r="E108" t="s">
        <v>620</v>
      </c>
      <c r="F108" t="str">
        <f t="shared" si="10"/>
        <v>India</v>
      </c>
      <c r="G108" t="s">
        <v>627</v>
      </c>
      <c r="H108" t="s">
        <v>639</v>
      </c>
      <c r="I108">
        <v>2</v>
      </c>
      <c r="J108" s="1">
        <v>38</v>
      </c>
      <c r="K108" s="1">
        <v>17</v>
      </c>
      <c r="L108" s="2">
        <v>0</v>
      </c>
      <c r="M108" t="s">
        <v>647</v>
      </c>
      <c r="N108" t="str">
        <f t="shared" si="11"/>
        <v>Credit Card</v>
      </c>
      <c r="O108" t="s">
        <v>650</v>
      </c>
      <c r="P108" t="str">
        <f t="shared" si="12"/>
        <v>Cancelled</v>
      </c>
      <c r="Q108" t="str">
        <f t="shared" si="13"/>
        <v>Valid</v>
      </c>
      <c r="R108" t="s">
        <v>666</v>
      </c>
      <c r="S108">
        <f t="shared" si="14"/>
        <v>76</v>
      </c>
      <c r="T108">
        <f t="shared" si="15"/>
        <v>34</v>
      </c>
      <c r="U108">
        <f t="shared" si="16"/>
        <v>42</v>
      </c>
      <c r="V108" s="8">
        <f t="shared" si="17"/>
        <v>0.55263157894736847</v>
      </c>
    </row>
    <row r="109" spans="1:22" x14ac:dyDescent="0.3">
      <c r="A109" t="s">
        <v>120</v>
      </c>
      <c r="B109" s="4">
        <v>45747</v>
      </c>
      <c r="C109" t="s">
        <v>564</v>
      </c>
      <c r="D109" t="str">
        <f t="shared" si="9"/>
        <v>Ava Thomas</v>
      </c>
      <c r="E109" t="s">
        <v>616</v>
      </c>
      <c r="F109" t="str">
        <f t="shared" si="10"/>
        <v>United Kingdom</v>
      </c>
      <c r="G109" t="s">
        <v>632</v>
      </c>
      <c r="H109" t="s">
        <v>639</v>
      </c>
      <c r="I109">
        <v>3</v>
      </c>
      <c r="J109" s="1">
        <v>42</v>
      </c>
      <c r="K109" s="1">
        <v>21</v>
      </c>
      <c r="L109" s="2">
        <v>0</v>
      </c>
      <c r="M109" t="s">
        <v>644</v>
      </c>
      <c r="N109" t="s">
        <v>644</v>
      </c>
      <c r="O109" t="s">
        <v>649</v>
      </c>
      <c r="P109" t="str">
        <f t="shared" si="12"/>
        <v>Pending</v>
      </c>
      <c r="Q109" t="str">
        <f t="shared" si="13"/>
        <v>Valid</v>
      </c>
      <c r="R109" t="s">
        <v>657</v>
      </c>
      <c r="S109">
        <f t="shared" si="14"/>
        <v>126</v>
      </c>
      <c r="T109">
        <f t="shared" si="15"/>
        <v>63</v>
      </c>
      <c r="U109">
        <f t="shared" si="16"/>
        <v>63</v>
      </c>
      <c r="V109" s="8">
        <f t="shared" si="17"/>
        <v>0.5</v>
      </c>
    </row>
    <row r="110" spans="1:22" x14ac:dyDescent="0.3">
      <c r="A110" t="s">
        <v>121</v>
      </c>
      <c r="B110" s="4">
        <v>45884</v>
      </c>
      <c r="C110" t="s">
        <v>572</v>
      </c>
      <c r="D110" t="str">
        <f t="shared" si="9"/>
        <v>Olivia Davis</v>
      </c>
      <c r="E110" t="s">
        <v>624</v>
      </c>
      <c r="F110" t="str">
        <f t="shared" si="10"/>
        <v>United Arab Emirates</v>
      </c>
      <c r="G110" t="s">
        <v>636</v>
      </c>
      <c r="H110" t="s">
        <v>641</v>
      </c>
      <c r="I110">
        <v>5</v>
      </c>
      <c r="J110" s="1">
        <v>245</v>
      </c>
      <c r="K110" s="1">
        <v>150</v>
      </c>
      <c r="L110" s="2">
        <v>0.05</v>
      </c>
      <c r="M110" t="s">
        <v>645</v>
      </c>
      <c r="N110" t="str">
        <f t="shared" si="11"/>
        <v>Bank Transfer</v>
      </c>
      <c r="O110" t="s">
        <v>651</v>
      </c>
      <c r="P110" t="str">
        <f t="shared" si="12"/>
        <v>Shipped</v>
      </c>
      <c r="Q110" t="str">
        <f t="shared" si="13"/>
        <v>Valid</v>
      </c>
      <c r="R110" t="s">
        <v>665</v>
      </c>
      <c r="S110">
        <f t="shared" si="14"/>
        <v>1163.75</v>
      </c>
      <c r="T110">
        <f t="shared" si="15"/>
        <v>750</v>
      </c>
      <c r="U110">
        <f t="shared" si="16"/>
        <v>413.75</v>
      </c>
      <c r="V110" s="8">
        <f t="shared" si="17"/>
        <v>0.35553168635875404</v>
      </c>
    </row>
    <row r="111" spans="1:22" x14ac:dyDescent="0.3">
      <c r="A111" t="s">
        <v>122</v>
      </c>
      <c r="B111" s="4">
        <v>46014</v>
      </c>
      <c r="C111" t="s">
        <v>575</v>
      </c>
      <c r="D111" t="str">
        <f t="shared" si="9"/>
        <v>Lucas Jackson</v>
      </c>
      <c r="E111" t="s">
        <v>605</v>
      </c>
      <c r="F111" t="str">
        <f t="shared" si="10"/>
        <v>Singapore</v>
      </c>
      <c r="G111" t="s">
        <v>636</v>
      </c>
      <c r="H111" t="s">
        <v>641</v>
      </c>
      <c r="I111">
        <v>1</v>
      </c>
      <c r="J111" s="1">
        <v>245</v>
      </c>
      <c r="K111" s="1">
        <v>150</v>
      </c>
      <c r="L111" s="2">
        <v>0.05</v>
      </c>
      <c r="M111" t="s">
        <v>642</v>
      </c>
      <c r="N111" t="s">
        <v>644</v>
      </c>
      <c r="O111" t="s">
        <v>650</v>
      </c>
      <c r="P111" t="str">
        <f t="shared" si="12"/>
        <v>Cancelled</v>
      </c>
      <c r="Q111" t="str">
        <f t="shared" si="13"/>
        <v>Valid</v>
      </c>
      <c r="R111" t="s">
        <v>668</v>
      </c>
      <c r="S111">
        <f t="shared" si="14"/>
        <v>232.75</v>
      </c>
      <c r="T111">
        <f t="shared" si="15"/>
        <v>150</v>
      </c>
      <c r="U111">
        <f t="shared" si="16"/>
        <v>82.75</v>
      </c>
      <c r="V111" s="8">
        <f t="shared" si="17"/>
        <v>0.35553168635875404</v>
      </c>
    </row>
    <row r="112" spans="1:22" x14ac:dyDescent="0.3">
      <c r="A112" t="s">
        <v>123</v>
      </c>
      <c r="B112" s="4">
        <v>45963</v>
      </c>
      <c r="C112" t="s">
        <v>575</v>
      </c>
      <c r="D112" t="str">
        <f t="shared" si="9"/>
        <v>Lucas Jackson</v>
      </c>
      <c r="E112" t="s">
        <v>612</v>
      </c>
      <c r="F112" t="str">
        <f t="shared" si="10"/>
        <v>United Kingdom</v>
      </c>
      <c r="G112" t="s">
        <v>629</v>
      </c>
      <c r="H112" t="s">
        <v>640</v>
      </c>
      <c r="I112">
        <v>1</v>
      </c>
      <c r="J112" s="1">
        <v>92</v>
      </c>
      <c r="K112" s="1">
        <v>53</v>
      </c>
      <c r="L112" s="2">
        <v>0.2</v>
      </c>
      <c r="M112" t="s">
        <v>645</v>
      </c>
      <c r="N112" t="str">
        <f t="shared" si="11"/>
        <v>Bank Transfer</v>
      </c>
      <c r="O112" t="s">
        <v>649</v>
      </c>
      <c r="P112" t="str">
        <f t="shared" si="12"/>
        <v>Pending</v>
      </c>
      <c r="Q112" t="str">
        <f t="shared" si="13"/>
        <v>Valid</v>
      </c>
      <c r="R112" t="s">
        <v>668</v>
      </c>
      <c r="S112">
        <f t="shared" si="14"/>
        <v>73.600000000000009</v>
      </c>
      <c r="T112">
        <f t="shared" si="15"/>
        <v>53</v>
      </c>
      <c r="U112">
        <f t="shared" si="16"/>
        <v>20.600000000000009</v>
      </c>
      <c r="V112" s="8">
        <f t="shared" si="17"/>
        <v>0.27989130434782616</v>
      </c>
    </row>
    <row r="113" spans="1:22" x14ac:dyDescent="0.3">
      <c r="A113" t="s">
        <v>124</v>
      </c>
      <c r="B113" s="4">
        <v>45798</v>
      </c>
      <c r="C113" t="s">
        <v>583</v>
      </c>
      <c r="D113" t="str">
        <f t="shared" si="9"/>
        <v>Ethan Anderson</v>
      </c>
      <c r="E113" t="s">
        <v>609</v>
      </c>
      <c r="F113" t="str">
        <f t="shared" si="10"/>
        <v>Singapore</v>
      </c>
      <c r="G113" t="s">
        <v>626</v>
      </c>
      <c r="H113" t="s">
        <v>638</v>
      </c>
      <c r="I113">
        <v>5</v>
      </c>
      <c r="J113" s="1">
        <v>36</v>
      </c>
      <c r="K113" s="1">
        <v>16</v>
      </c>
      <c r="L113" s="2">
        <v>0</v>
      </c>
      <c r="M113" t="s">
        <v>645</v>
      </c>
      <c r="N113" t="str">
        <f t="shared" si="11"/>
        <v>Bank Transfer</v>
      </c>
      <c r="O113" t="s">
        <v>649</v>
      </c>
      <c r="P113" t="str">
        <f t="shared" si="12"/>
        <v>Pending</v>
      </c>
      <c r="Q113" t="str">
        <f t="shared" si="13"/>
        <v>Valid</v>
      </c>
      <c r="R113" t="s">
        <v>673</v>
      </c>
      <c r="S113">
        <f t="shared" si="14"/>
        <v>180</v>
      </c>
      <c r="T113">
        <f t="shared" si="15"/>
        <v>80</v>
      </c>
      <c r="U113">
        <f t="shared" si="16"/>
        <v>100</v>
      </c>
      <c r="V113" s="8">
        <f t="shared" si="17"/>
        <v>0.55555555555555558</v>
      </c>
    </row>
    <row r="114" spans="1:22" x14ac:dyDescent="0.3">
      <c r="A114" t="s">
        <v>125</v>
      </c>
      <c r="B114" s="4">
        <v>46005</v>
      </c>
      <c r="C114" t="s">
        <v>568</v>
      </c>
      <c r="D114" t="str">
        <f t="shared" si="9"/>
        <v>Daniel Harris</v>
      </c>
      <c r="E114" t="s">
        <v>614</v>
      </c>
      <c r="F114" t="str">
        <f t="shared" si="10"/>
        <v>Australia</v>
      </c>
      <c r="G114" t="s">
        <v>637</v>
      </c>
      <c r="H114" t="s">
        <v>641</v>
      </c>
      <c r="I114">
        <v>3</v>
      </c>
      <c r="J114" s="1">
        <v>175</v>
      </c>
      <c r="K114" s="1">
        <v>105</v>
      </c>
      <c r="L114" s="2">
        <v>0</v>
      </c>
      <c r="M114" t="s">
        <v>643</v>
      </c>
      <c r="N114" t="str">
        <f t="shared" si="11"/>
        <v>Credit Card</v>
      </c>
      <c r="O114" t="s">
        <v>654</v>
      </c>
      <c r="P114" t="str">
        <f t="shared" si="12"/>
        <v>Cancelled</v>
      </c>
      <c r="Q114" t="str">
        <f t="shared" si="13"/>
        <v>Valid</v>
      </c>
      <c r="R114" t="s">
        <v>666</v>
      </c>
      <c r="S114">
        <f t="shared" si="14"/>
        <v>525</v>
      </c>
      <c r="T114">
        <f t="shared" si="15"/>
        <v>315</v>
      </c>
      <c r="U114">
        <f t="shared" si="16"/>
        <v>210</v>
      </c>
      <c r="V114" s="8">
        <f t="shared" si="17"/>
        <v>0.4</v>
      </c>
    </row>
    <row r="115" spans="1:22" x14ac:dyDescent="0.3">
      <c r="A115" t="s">
        <v>126</v>
      </c>
      <c r="B115" s="4">
        <v>45827</v>
      </c>
      <c r="C115" t="s">
        <v>589</v>
      </c>
      <c r="D115" t="str">
        <f t="shared" si="9"/>
        <v>Daniel Harris</v>
      </c>
      <c r="E115" t="s">
        <v>619</v>
      </c>
      <c r="F115" t="str">
        <f t="shared" si="10"/>
        <v>India</v>
      </c>
      <c r="G115" t="s">
        <v>626</v>
      </c>
      <c r="H115" t="s">
        <v>638</v>
      </c>
      <c r="I115">
        <v>4</v>
      </c>
      <c r="J115" s="1">
        <v>36</v>
      </c>
      <c r="K115" s="1">
        <v>16</v>
      </c>
      <c r="L115" s="2">
        <v>0</v>
      </c>
      <c r="M115" t="s">
        <v>644</v>
      </c>
      <c r="N115" t="s">
        <v>644</v>
      </c>
      <c r="O115" t="s">
        <v>651</v>
      </c>
      <c r="P115" t="str">
        <f t="shared" si="12"/>
        <v>Shipped</v>
      </c>
      <c r="Q115" t="str">
        <f t="shared" si="13"/>
        <v>Valid</v>
      </c>
      <c r="R115" t="s">
        <v>666</v>
      </c>
      <c r="S115">
        <f t="shared" si="14"/>
        <v>144</v>
      </c>
      <c r="T115">
        <f t="shared" si="15"/>
        <v>64</v>
      </c>
      <c r="U115">
        <f t="shared" si="16"/>
        <v>80</v>
      </c>
      <c r="V115" s="8">
        <f t="shared" si="17"/>
        <v>0.55555555555555558</v>
      </c>
    </row>
    <row r="116" spans="1:22" x14ac:dyDescent="0.3">
      <c r="A116" t="s">
        <v>127</v>
      </c>
      <c r="B116" s="4">
        <v>45967</v>
      </c>
      <c r="C116" t="s">
        <v>582</v>
      </c>
      <c r="D116" t="str">
        <f t="shared" si="9"/>
        <v>Alex Morgan</v>
      </c>
      <c r="E116" t="s">
        <v>605</v>
      </c>
      <c r="F116" t="str">
        <f t="shared" si="10"/>
        <v>Singapore</v>
      </c>
      <c r="G116" t="s">
        <v>629</v>
      </c>
      <c r="H116" t="s">
        <v>640</v>
      </c>
      <c r="I116">
        <v>3</v>
      </c>
      <c r="J116" s="1">
        <v>92</v>
      </c>
      <c r="K116" s="1">
        <v>53</v>
      </c>
      <c r="L116" s="2">
        <v>0.15</v>
      </c>
      <c r="M116" t="s">
        <v>643</v>
      </c>
      <c r="N116" t="str">
        <f t="shared" si="11"/>
        <v>Credit Card</v>
      </c>
      <c r="O116" t="s">
        <v>648</v>
      </c>
      <c r="P116" t="str">
        <f t="shared" si="12"/>
        <v>Completed</v>
      </c>
      <c r="Q116" t="str">
        <f t="shared" si="13"/>
        <v>Valid</v>
      </c>
      <c r="R116" t="s">
        <v>658</v>
      </c>
      <c r="S116">
        <f t="shared" si="14"/>
        <v>234.6</v>
      </c>
      <c r="T116">
        <f t="shared" si="15"/>
        <v>159</v>
      </c>
      <c r="U116">
        <f t="shared" si="16"/>
        <v>75.599999999999994</v>
      </c>
      <c r="V116" s="8">
        <f t="shared" si="17"/>
        <v>0.32225063938618925</v>
      </c>
    </row>
    <row r="117" spans="1:22" x14ac:dyDescent="0.3">
      <c r="A117" t="s">
        <v>128</v>
      </c>
      <c r="B117" s="4">
        <v>45957</v>
      </c>
      <c r="C117" t="s">
        <v>576</v>
      </c>
      <c r="D117" t="str">
        <f t="shared" si="9"/>
        <v>Chloe Lewis</v>
      </c>
      <c r="E117" t="s">
        <v>604</v>
      </c>
      <c r="F117" t="str">
        <f t="shared" si="10"/>
        <v>United States</v>
      </c>
      <c r="G117" t="s">
        <v>630</v>
      </c>
      <c r="H117" t="s">
        <v>640</v>
      </c>
      <c r="I117">
        <v>4</v>
      </c>
      <c r="J117" s="1">
        <v>78</v>
      </c>
      <c r="K117" s="1">
        <v>45</v>
      </c>
      <c r="L117" s="2">
        <v>0</v>
      </c>
      <c r="M117" t="s">
        <v>645</v>
      </c>
      <c r="N117" t="str">
        <f t="shared" si="11"/>
        <v>Bank Transfer</v>
      </c>
      <c r="O117" t="s">
        <v>651</v>
      </c>
      <c r="P117" t="str">
        <f t="shared" si="12"/>
        <v>Shipped</v>
      </c>
      <c r="Q117" t="str">
        <f t="shared" si="13"/>
        <v>Valid</v>
      </c>
      <c r="R117" t="s">
        <v>669</v>
      </c>
      <c r="S117">
        <f t="shared" si="14"/>
        <v>312</v>
      </c>
      <c r="T117">
        <f t="shared" si="15"/>
        <v>180</v>
      </c>
      <c r="U117">
        <f t="shared" si="16"/>
        <v>132</v>
      </c>
      <c r="V117" s="8">
        <f t="shared" si="17"/>
        <v>0.42307692307692307</v>
      </c>
    </row>
    <row r="118" spans="1:22" x14ac:dyDescent="0.3">
      <c r="A118" t="s">
        <v>129</v>
      </c>
      <c r="B118" s="4">
        <v>45824</v>
      </c>
      <c r="C118" t="s">
        <v>572</v>
      </c>
      <c r="D118" t="str">
        <f t="shared" si="9"/>
        <v>Olivia Davis</v>
      </c>
      <c r="E118" t="s">
        <v>608</v>
      </c>
      <c r="F118" t="str">
        <f t="shared" si="10"/>
        <v>India</v>
      </c>
      <c r="G118" t="s">
        <v>637</v>
      </c>
      <c r="H118" t="s">
        <v>641</v>
      </c>
      <c r="I118">
        <v>3</v>
      </c>
      <c r="J118" s="1">
        <v>175</v>
      </c>
      <c r="K118" s="1">
        <v>105</v>
      </c>
      <c r="L118" s="2">
        <v>0.05</v>
      </c>
      <c r="M118" t="s">
        <v>646</v>
      </c>
      <c r="N118" t="str">
        <f t="shared" si="11"/>
        <v>Debit Card</v>
      </c>
      <c r="O118" t="s">
        <v>648</v>
      </c>
      <c r="P118" t="str">
        <f t="shared" si="12"/>
        <v>Completed</v>
      </c>
      <c r="Q118" t="str">
        <f t="shared" si="13"/>
        <v>Valid</v>
      </c>
      <c r="R118" t="s">
        <v>665</v>
      </c>
      <c r="S118">
        <f t="shared" si="14"/>
        <v>498.75</v>
      </c>
      <c r="T118">
        <f t="shared" si="15"/>
        <v>315</v>
      </c>
      <c r="U118">
        <f t="shared" si="16"/>
        <v>183.75</v>
      </c>
      <c r="V118" s="8">
        <f t="shared" si="17"/>
        <v>0.36842105263157893</v>
      </c>
    </row>
    <row r="119" spans="1:22" x14ac:dyDescent="0.3">
      <c r="A119" t="s">
        <v>130</v>
      </c>
      <c r="B119" s="4">
        <v>45941</v>
      </c>
      <c r="C119" t="s">
        <v>583</v>
      </c>
      <c r="D119" t="str">
        <f t="shared" si="9"/>
        <v>Ethan Anderson</v>
      </c>
      <c r="E119" t="s">
        <v>620</v>
      </c>
      <c r="F119" t="str">
        <f t="shared" si="10"/>
        <v>India</v>
      </c>
      <c r="G119" t="s">
        <v>629</v>
      </c>
      <c r="H119" t="s">
        <v>640</v>
      </c>
      <c r="I119">
        <v>2</v>
      </c>
      <c r="J119" s="1">
        <v>92</v>
      </c>
      <c r="K119" s="1">
        <v>53</v>
      </c>
      <c r="L119" s="2">
        <v>0.05</v>
      </c>
      <c r="M119" t="s">
        <v>647</v>
      </c>
      <c r="N119" t="str">
        <f t="shared" si="11"/>
        <v>Credit Card</v>
      </c>
      <c r="O119" t="s">
        <v>650</v>
      </c>
      <c r="P119" t="str">
        <f t="shared" si="12"/>
        <v>Cancelled</v>
      </c>
      <c r="Q119" t="str">
        <f t="shared" si="13"/>
        <v>Valid</v>
      </c>
      <c r="R119" t="s">
        <v>673</v>
      </c>
      <c r="S119">
        <f t="shared" si="14"/>
        <v>174.79999999999998</v>
      </c>
      <c r="T119">
        <f t="shared" si="15"/>
        <v>106</v>
      </c>
      <c r="U119">
        <f t="shared" si="16"/>
        <v>68.799999999999983</v>
      </c>
      <c r="V119" s="8">
        <f t="shared" si="17"/>
        <v>0.39359267734553771</v>
      </c>
    </row>
    <row r="120" spans="1:22" x14ac:dyDescent="0.3">
      <c r="A120" t="s">
        <v>131</v>
      </c>
      <c r="B120" s="4">
        <v>45751</v>
      </c>
      <c r="C120" t="s">
        <v>584</v>
      </c>
      <c r="D120" t="str">
        <f t="shared" si="9"/>
        <v>James Thompson</v>
      </c>
      <c r="E120" t="s">
        <v>624</v>
      </c>
      <c r="F120" t="str">
        <f t="shared" si="10"/>
        <v>United Arab Emirates</v>
      </c>
      <c r="G120" t="s">
        <v>633</v>
      </c>
      <c r="H120" t="s">
        <v>638</v>
      </c>
      <c r="I120">
        <v>3</v>
      </c>
      <c r="J120" s="1">
        <v>210</v>
      </c>
      <c r="K120" s="1">
        <v>125</v>
      </c>
      <c r="L120" s="2">
        <v>0</v>
      </c>
      <c r="M120" t="s">
        <v>646</v>
      </c>
      <c r="N120" t="str">
        <f t="shared" si="11"/>
        <v>Debit Card</v>
      </c>
      <c r="O120" t="s">
        <v>649</v>
      </c>
      <c r="P120" t="str">
        <f t="shared" si="12"/>
        <v>Pending</v>
      </c>
      <c r="Q120" t="str">
        <f t="shared" si="13"/>
        <v>Valid</v>
      </c>
      <c r="R120" t="s">
        <v>675</v>
      </c>
      <c r="S120">
        <f t="shared" si="14"/>
        <v>630</v>
      </c>
      <c r="T120">
        <f t="shared" si="15"/>
        <v>375</v>
      </c>
      <c r="U120">
        <f t="shared" si="16"/>
        <v>255</v>
      </c>
      <c r="V120" s="8">
        <f t="shared" si="17"/>
        <v>0.40476190476190477</v>
      </c>
    </row>
    <row r="121" spans="1:22" x14ac:dyDescent="0.3">
      <c r="A121" t="s">
        <v>132</v>
      </c>
      <c r="B121" s="4">
        <v>45787</v>
      </c>
      <c r="C121" t="s">
        <v>586</v>
      </c>
      <c r="D121" t="str">
        <f t="shared" si="9"/>
        <v>Ella Martin</v>
      </c>
      <c r="E121" t="s">
        <v>605</v>
      </c>
      <c r="F121" t="str">
        <f t="shared" si="10"/>
        <v>Singapore</v>
      </c>
      <c r="G121" t="s">
        <v>637</v>
      </c>
      <c r="H121" t="s">
        <v>641</v>
      </c>
      <c r="I121">
        <v>1</v>
      </c>
      <c r="J121" s="1">
        <v>175</v>
      </c>
      <c r="K121" s="1">
        <v>105</v>
      </c>
      <c r="L121" s="2">
        <v>0</v>
      </c>
      <c r="M121" t="s">
        <v>643</v>
      </c>
      <c r="N121" t="str">
        <f t="shared" si="11"/>
        <v>Credit Card</v>
      </c>
      <c r="O121" t="s">
        <v>652</v>
      </c>
      <c r="P121" t="str">
        <f t="shared" si="12"/>
        <v>Completed</v>
      </c>
      <c r="Q121" t="str">
        <f t="shared" si="13"/>
        <v>Valid</v>
      </c>
      <c r="R121" t="s">
        <v>671</v>
      </c>
      <c r="S121">
        <f t="shared" si="14"/>
        <v>175</v>
      </c>
      <c r="T121">
        <f t="shared" si="15"/>
        <v>105</v>
      </c>
      <c r="U121">
        <f t="shared" si="16"/>
        <v>70</v>
      </c>
      <c r="V121" s="8">
        <f t="shared" si="17"/>
        <v>0.4</v>
      </c>
    </row>
    <row r="122" spans="1:22" x14ac:dyDescent="0.3">
      <c r="A122" t="s">
        <v>133</v>
      </c>
      <c r="B122" s="4">
        <v>45841</v>
      </c>
      <c r="C122" t="s">
        <v>576</v>
      </c>
      <c r="D122" t="str">
        <f t="shared" si="9"/>
        <v>Chloe Lewis</v>
      </c>
      <c r="E122" t="s">
        <v>622</v>
      </c>
      <c r="F122" t="str">
        <f t="shared" si="10"/>
        <v>United Arab Emirates</v>
      </c>
      <c r="G122" t="s">
        <v>633</v>
      </c>
      <c r="H122" t="s">
        <v>638</v>
      </c>
      <c r="I122">
        <v>5</v>
      </c>
      <c r="J122" s="1">
        <v>210</v>
      </c>
      <c r="K122" s="1">
        <v>125</v>
      </c>
      <c r="L122" s="2">
        <v>0</v>
      </c>
      <c r="M122" t="s">
        <v>645</v>
      </c>
      <c r="N122" t="str">
        <f t="shared" si="11"/>
        <v>Bank Transfer</v>
      </c>
      <c r="O122" t="s">
        <v>649</v>
      </c>
      <c r="P122" t="str">
        <f t="shared" si="12"/>
        <v>Pending</v>
      </c>
      <c r="Q122" t="str">
        <f t="shared" si="13"/>
        <v>Valid</v>
      </c>
      <c r="R122" t="s">
        <v>669</v>
      </c>
      <c r="S122">
        <f t="shared" si="14"/>
        <v>1050</v>
      </c>
      <c r="T122">
        <f t="shared" si="15"/>
        <v>625</v>
      </c>
      <c r="U122">
        <f t="shared" si="16"/>
        <v>425</v>
      </c>
      <c r="V122" s="8">
        <f t="shared" si="17"/>
        <v>0.40476190476190477</v>
      </c>
    </row>
    <row r="123" spans="1:22" x14ac:dyDescent="0.3">
      <c r="A123" t="s">
        <v>134</v>
      </c>
      <c r="B123" s="4">
        <v>45875</v>
      </c>
      <c r="C123" t="s">
        <v>580</v>
      </c>
      <c r="D123" t="str">
        <f t="shared" si="9"/>
        <v>Benjamin Walker</v>
      </c>
      <c r="E123" t="s">
        <v>607</v>
      </c>
      <c r="F123" t="str">
        <f t="shared" si="10"/>
        <v>Germany</v>
      </c>
      <c r="G123" t="s">
        <v>626</v>
      </c>
      <c r="H123" t="s">
        <v>638</v>
      </c>
      <c r="I123">
        <v>4</v>
      </c>
      <c r="J123" s="1">
        <v>36</v>
      </c>
      <c r="K123" s="1">
        <v>16</v>
      </c>
      <c r="L123" s="2">
        <v>0</v>
      </c>
      <c r="M123" t="s">
        <v>647</v>
      </c>
      <c r="N123" t="str">
        <f t="shared" si="11"/>
        <v>Credit Card</v>
      </c>
      <c r="O123" t="s">
        <v>651</v>
      </c>
      <c r="P123" t="str">
        <f t="shared" si="12"/>
        <v>Shipped</v>
      </c>
      <c r="Q123" t="str">
        <f t="shared" si="13"/>
        <v>Valid</v>
      </c>
      <c r="R123" t="s">
        <v>672</v>
      </c>
      <c r="S123">
        <f t="shared" si="14"/>
        <v>144</v>
      </c>
      <c r="T123">
        <f t="shared" si="15"/>
        <v>64</v>
      </c>
      <c r="U123">
        <f t="shared" si="16"/>
        <v>80</v>
      </c>
      <c r="V123" s="8">
        <f t="shared" si="17"/>
        <v>0.55555555555555558</v>
      </c>
    </row>
    <row r="124" spans="1:22" x14ac:dyDescent="0.3">
      <c r="A124" t="s">
        <v>135</v>
      </c>
      <c r="B124" s="4">
        <v>45975</v>
      </c>
      <c r="C124" t="s">
        <v>570</v>
      </c>
      <c r="D124" t="str">
        <f t="shared" si="9"/>
        <v>Grace Moore</v>
      </c>
      <c r="E124" t="s">
        <v>619</v>
      </c>
      <c r="F124" t="str">
        <f t="shared" si="10"/>
        <v>India</v>
      </c>
      <c r="G124" t="s">
        <v>635</v>
      </c>
      <c r="H124" t="s">
        <v>639</v>
      </c>
      <c r="I124">
        <v>3</v>
      </c>
      <c r="J124" s="1">
        <v>65</v>
      </c>
      <c r="K124" s="1">
        <v>31</v>
      </c>
      <c r="L124" s="2">
        <v>0</v>
      </c>
      <c r="M124" t="s">
        <v>646</v>
      </c>
      <c r="N124" t="str">
        <f t="shared" si="11"/>
        <v>Debit Card</v>
      </c>
      <c r="O124" t="s">
        <v>650</v>
      </c>
      <c r="P124" t="str">
        <f t="shared" si="12"/>
        <v>Cancelled</v>
      </c>
      <c r="Q124" t="str">
        <f t="shared" si="13"/>
        <v>Valid</v>
      </c>
      <c r="R124" t="s">
        <v>663</v>
      </c>
      <c r="S124">
        <f t="shared" si="14"/>
        <v>195</v>
      </c>
      <c r="T124">
        <f t="shared" si="15"/>
        <v>93</v>
      </c>
      <c r="U124">
        <f t="shared" si="16"/>
        <v>102</v>
      </c>
      <c r="V124" s="8">
        <f t="shared" si="17"/>
        <v>0.52307692307692311</v>
      </c>
    </row>
    <row r="125" spans="1:22" x14ac:dyDescent="0.3">
      <c r="A125" t="s">
        <v>136</v>
      </c>
      <c r="B125" s="4">
        <v>45821</v>
      </c>
      <c r="C125" t="s">
        <v>566</v>
      </c>
      <c r="D125" t="str">
        <f t="shared" si="9"/>
        <v>Lily Hall</v>
      </c>
      <c r="E125" t="s">
        <v>610</v>
      </c>
      <c r="F125" t="str">
        <f t="shared" si="10"/>
        <v>United Arab Emirates</v>
      </c>
      <c r="G125" t="s">
        <v>627</v>
      </c>
      <c r="H125" t="s">
        <v>639</v>
      </c>
      <c r="I125">
        <v>1</v>
      </c>
      <c r="J125" s="1">
        <v>38</v>
      </c>
      <c r="K125" s="1">
        <v>17</v>
      </c>
      <c r="L125" s="2">
        <v>0.1</v>
      </c>
      <c r="M125" t="s">
        <v>645</v>
      </c>
      <c r="N125" t="str">
        <f t="shared" si="11"/>
        <v>Bank Transfer</v>
      </c>
      <c r="O125" t="s">
        <v>651</v>
      </c>
      <c r="P125" t="str">
        <f t="shared" si="12"/>
        <v>Shipped</v>
      </c>
      <c r="Q125" t="str">
        <f t="shared" si="13"/>
        <v>Valid</v>
      </c>
      <c r="R125" t="s">
        <v>659</v>
      </c>
      <c r="S125">
        <f t="shared" si="14"/>
        <v>34.200000000000003</v>
      </c>
      <c r="T125">
        <f t="shared" si="15"/>
        <v>17</v>
      </c>
      <c r="U125">
        <f t="shared" si="16"/>
        <v>17.200000000000003</v>
      </c>
      <c r="V125" s="8">
        <f t="shared" si="17"/>
        <v>0.50292397660818722</v>
      </c>
    </row>
    <row r="126" spans="1:22" x14ac:dyDescent="0.3">
      <c r="A126" t="s">
        <v>137</v>
      </c>
      <c r="B126" s="4">
        <v>45700</v>
      </c>
      <c r="C126" t="s">
        <v>574</v>
      </c>
      <c r="D126" t="str">
        <f t="shared" si="9"/>
        <v>Sophia Taylor</v>
      </c>
      <c r="E126" t="s">
        <v>603</v>
      </c>
      <c r="F126" t="str">
        <f t="shared" si="10"/>
        <v>Germany</v>
      </c>
      <c r="G126" t="s">
        <v>626</v>
      </c>
      <c r="H126" t="s">
        <v>638</v>
      </c>
      <c r="I126">
        <v>4</v>
      </c>
      <c r="J126" s="1">
        <v>36</v>
      </c>
      <c r="K126" s="1">
        <v>16</v>
      </c>
      <c r="L126" s="2">
        <v>0.05</v>
      </c>
      <c r="M126" t="s">
        <v>644</v>
      </c>
      <c r="N126" t="s">
        <v>644</v>
      </c>
      <c r="O126" t="s">
        <v>649</v>
      </c>
      <c r="P126" t="str">
        <f t="shared" si="12"/>
        <v>Pending</v>
      </c>
      <c r="Q126" t="str">
        <f t="shared" si="13"/>
        <v>Valid</v>
      </c>
      <c r="R126" t="s">
        <v>660</v>
      </c>
      <c r="S126">
        <f t="shared" si="14"/>
        <v>136.79999999999998</v>
      </c>
      <c r="T126">
        <f t="shared" si="15"/>
        <v>64</v>
      </c>
      <c r="U126">
        <f t="shared" si="16"/>
        <v>72.799999999999983</v>
      </c>
      <c r="V126" s="8">
        <f t="shared" si="17"/>
        <v>0.53216374269005839</v>
      </c>
    </row>
    <row r="127" spans="1:22" x14ac:dyDescent="0.3">
      <c r="A127" t="s">
        <v>138</v>
      </c>
      <c r="B127" s="4">
        <v>45769</v>
      </c>
      <c r="C127" t="s">
        <v>581</v>
      </c>
      <c r="D127" t="str">
        <f t="shared" si="9"/>
        <v>Grace Moore</v>
      </c>
      <c r="E127" t="s">
        <v>618</v>
      </c>
      <c r="F127" t="str">
        <f t="shared" si="10"/>
        <v>United Kingdom</v>
      </c>
      <c r="G127" t="s">
        <v>631</v>
      </c>
      <c r="H127" t="s">
        <v>641</v>
      </c>
      <c r="I127">
        <v>1</v>
      </c>
      <c r="J127" s="1">
        <v>85</v>
      </c>
      <c r="K127" s="1">
        <v>44</v>
      </c>
      <c r="L127" s="2">
        <v>0.15</v>
      </c>
      <c r="M127" t="s">
        <v>645</v>
      </c>
      <c r="N127" t="str">
        <f t="shared" si="11"/>
        <v>Bank Transfer</v>
      </c>
      <c r="O127" t="s">
        <v>648</v>
      </c>
      <c r="P127" t="str">
        <f t="shared" si="12"/>
        <v>Completed</v>
      </c>
      <c r="Q127" t="str">
        <f t="shared" si="13"/>
        <v>Valid</v>
      </c>
      <c r="R127" t="s">
        <v>663</v>
      </c>
      <c r="S127">
        <f t="shared" si="14"/>
        <v>72.25</v>
      </c>
      <c r="T127">
        <f t="shared" si="15"/>
        <v>44</v>
      </c>
      <c r="U127">
        <f t="shared" si="16"/>
        <v>28.25</v>
      </c>
      <c r="V127" s="8">
        <f t="shared" si="17"/>
        <v>0.39100346020761245</v>
      </c>
    </row>
    <row r="128" spans="1:22" x14ac:dyDescent="0.3">
      <c r="A128" t="s">
        <v>139</v>
      </c>
      <c r="B128" s="4">
        <v>45942</v>
      </c>
      <c r="C128" t="s">
        <v>573</v>
      </c>
      <c r="D128" t="str">
        <f t="shared" si="9"/>
        <v>Noah Brown</v>
      </c>
      <c r="E128" t="s">
        <v>610</v>
      </c>
      <c r="F128" t="str">
        <f t="shared" si="10"/>
        <v>United Arab Emirates</v>
      </c>
      <c r="G128" t="s">
        <v>631</v>
      </c>
      <c r="H128" t="s">
        <v>641</v>
      </c>
      <c r="I128">
        <v>5</v>
      </c>
      <c r="J128" s="1">
        <v>85</v>
      </c>
      <c r="K128" s="1">
        <v>44</v>
      </c>
      <c r="L128" s="2">
        <v>0.2</v>
      </c>
      <c r="M128" t="s">
        <v>647</v>
      </c>
      <c r="N128" t="str">
        <f t="shared" si="11"/>
        <v>Credit Card</v>
      </c>
      <c r="O128" t="s">
        <v>649</v>
      </c>
      <c r="P128" t="str">
        <f t="shared" si="12"/>
        <v>Pending</v>
      </c>
      <c r="Q128" t="str">
        <f t="shared" si="13"/>
        <v>Valid</v>
      </c>
      <c r="R128" t="s">
        <v>667</v>
      </c>
      <c r="S128">
        <f t="shared" si="14"/>
        <v>340</v>
      </c>
      <c r="T128">
        <f t="shared" si="15"/>
        <v>220</v>
      </c>
      <c r="U128">
        <f t="shared" si="16"/>
        <v>120</v>
      </c>
      <c r="V128" s="8">
        <f t="shared" si="17"/>
        <v>0.35294117647058826</v>
      </c>
    </row>
    <row r="129" spans="1:22" x14ac:dyDescent="0.3">
      <c r="A129" t="s">
        <v>140</v>
      </c>
      <c r="B129" s="4">
        <v>45997</v>
      </c>
      <c r="C129" t="s">
        <v>578</v>
      </c>
      <c r="D129" t="str">
        <f t="shared" si="9"/>
        <v>Ella Martin</v>
      </c>
      <c r="E129" t="s">
        <v>610</v>
      </c>
      <c r="F129" t="str">
        <f t="shared" si="10"/>
        <v>United Arab Emirates</v>
      </c>
      <c r="G129" t="s">
        <v>629</v>
      </c>
      <c r="H129" t="s">
        <v>640</v>
      </c>
      <c r="I129">
        <v>2</v>
      </c>
      <c r="J129" s="1">
        <v>92</v>
      </c>
      <c r="K129" s="1">
        <v>53</v>
      </c>
      <c r="L129" s="2">
        <v>0</v>
      </c>
      <c r="M129" t="s">
        <v>643</v>
      </c>
      <c r="N129" t="str">
        <f t="shared" si="11"/>
        <v>Credit Card</v>
      </c>
      <c r="O129" t="s">
        <v>650</v>
      </c>
      <c r="P129" t="str">
        <f t="shared" si="12"/>
        <v>Cancelled</v>
      </c>
      <c r="Q129" t="str">
        <f t="shared" si="13"/>
        <v>Valid</v>
      </c>
      <c r="R129" t="s">
        <v>671</v>
      </c>
      <c r="S129">
        <f t="shared" si="14"/>
        <v>184</v>
      </c>
      <c r="T129">
        <f t="shared" si="15"/>
        <v>106</v>
      </c>
      <c r="U129">
        <f t="shared" si="16"/>
        <v>78</v>
      </c>
      <c r="V129" s="8">
        <f t="shared" si="17"/>
        <v>0.42391304347826086</v>
      </c>
    </row>
    <row r="130" spans="1:22" x14ac:dyDescent="0.3">
      <c r="A130" t="s">
        <v>141</v>
      </c>
      <c r="B130" s="4">
        <v>45892</v>
      </c>
      <c r="C130" t="s">
        <v>576</v>
      </c>
      <c r="D130" t="str">
        <f t="shared" si="9"/>
        <v>Chloe Lewis</v>
      </c>
      <c r="E130" t="s">
        <v>622</v>
      </c>
      <c r="F130" t="str">
        <f t="shared" si="10"/>
        <v>United Arab Emirates</v>
      </c>
      <c r="G130" t="s">
        <v>630</v>
      </c>
      <c r="H130" t="s">
        <v>640</v>
      </c>
      <c r="I130">
        <v>1</v>
      </c>
      <c r="J130" s="1">
        <v>78</v>
      </c>
      <c r="K130" s="1">
        <v>45</v>
      </c>
      <c r="L130" s="2">
        <v>0.05</v>
      </c>
      <c r="M130" t="s">
        <v>645</v>
      </c>
      <c r="N130" t="str">
        <f t="shared" si="11"/>
        <v>Bank Transfer</v>
      </c>
      <c r="O130" t="s">
        <v>650</v>
      </c>
      <c r="P130" t="str">
        <f t="shared" si="12"/>
        <v>Cancelled</v>
      </c>
      <c r="Q130" t="str">
        <f t="shared" si="13"/>
        <v>Valid</v>
      </c>
      <c r="R130" t="s">
        <v>669</v>
      </c>
      <c r="S130">
        <f t="shared" si="14"/>
        <v>74.099999999999994</v>
      </c>
      <c r="T130">
        <f t="shared" si="15"/>
        <v>45</v>
      </c>
      <c r="U130">
        <f t="shared" si="16"/>
        <v>29.099999999999994</v>
      </c>
      <c r="V130" s="8">
        <f t="shared" si="17"/>
        <v>0.39271255060728738</v>
      </c>
    </row>
    <row r="131" spans="1:22" x14ac:dyDescent="0.3">
      <c r="A131" t="s">
        <v>142</v>
      </c>
      <c r="B131" s="4">
        <v>45874</v>
      </c>
      <c r="C131" t="s">
        <v>580</v>
      </c>
      <c r="D131" t="str">
        <f t="shared" ref="D131:D194" si="18">PROPER(TRIM(C131))</f>
        <v>Benjamin Walker</v>
      </c>
      <c r="E131" t="s">
        <v>619</v>
      </c>
      <c r="F131" t="str">
        <f t="shared" ref="F131:F194" si="19">IF(OR(UPPER(TRIM(E131))="AUS",UPPER(TRIM(E131))="AUSTRALIA"),"Australia",IF(OR(UPPER(TRIM(E131))="CAN",UPPER(TRIM(E131))="CANADA"),"Canada",IF(OR(UPPER(TRIM(E131))="DE",UPPER(TRIM(E131))="GERMANY"),"Germany",IF(OR(UPPER(TRIM(E131))="IN",UPPER(TRIM(E131))="INDIA"),"India",IF(OR(UPPER(TRIM(E131))="US",UPPER(TRIM(E131))="USA",UPPER(TRIM(E131))="UNITED STATES"),"United States",IF(OR(UPPER(TRIM(E131))="UK",UPPER(TRIM(E131))="U.K.",UPPER(TRIM(E131))="UNITED KINGDOM"),"United Kingdom",IF(OR(UPPER(TRIM(E131))="UAE",UPPER(TRIM(E131))="U.A.E.",UPPER(TRIM(E131))="UNITED ARAB EMIRATES"),"United Arab Emirates",IF(OR(UPPER(TRIM(E131))="SG",UPPER(TRIM(E131))="SINGAPORE"),"Singapore",TRIM(E131)))))))))</f>
        <v>India</v>
      </c>
      <c r="G131" t="s">
        <v>632</v>
      </c>
      <c r="H131" t="s">
        <v>639</v>
      </c>
      <c r="I131">
        <v>5</v>
      </c>
      <c r="J131" s="1">
        <v>42</v>
      </c>
      <c r="K131" s="1">
        <v>21</v>
      </c>
      <c r="L131" s="2">
        <v>0</v>
      </c>
      <c r="M131" t="s">
        <v>646</v>
      </c>
      <c r="N131" t="str">
        <f t="shared" ref="N131:N194" si="20">PROPER(TRIM(M131))</f>
        <v>Debit Card</v>
      </c>
      <c r="O131" t="s">
        <v>650</v>
      </c>
      <c r="P131" t="str">
        <f t="shared" ref="P131:P194" si="21">PROPER(TRIM(O131))</f>
        <v>Cancelled</v>
      </c>
      <c r="Q131" t="str">
        <f t="shared" ref="Q131:Q194" si="22">IF(TRIM(R131)="","Missing",IF(AND(ISNUMBER(SEARCH("@",R131)),ISNUMBER(SEARCH(".",R131,SEARCH("@",R131)+2))),"Valid","Invalid"))</f>
        <v>Valid</v>
      </c>
      <c r="R131" t="s">
        <v>672</v>
      </c>
      <c r="S131">
        <f t="shared" ref="S131:S194" si="23">I131*J131*(1-L131)</f>
        <v>210</v>
      </c>
      <c r="T131">
        <f t="shared" ref="T131:T194" si="24">I131*K131</f>
        <v>105</v>
      </c>
      <c r="U131">
        <f t="shared" ref="U131:U194" si="25">S131-T131</f>
        <v>105</v>
      </c>
      <c r="V131" s="8">
        <f t="shared" ref="V131:V194" si="26">IF(S131=0,0,U131/S131)</f>
        <v>0.5</v>
      </c>
    </row>
    <row r="132" spans="1:22" x14ac:dyDescent="0.3">
      <c r="A132" t="s">
        <v>143</v>
      </c>
      <c r="B132" s="4">
        <v>45723</v>
      </c>
      <c r="C132" t="s">
        <v>566</v>
      </c>
      <c r="D132" t="str">
        <f t="shared" si="18"/>
        <v>Lily Hall</v>
      </c>
      <c r="E132" t="s">
        <v>616</v>
      </c>
      <c r="F132" t="str">
        <f t="shared" si="19"/>
        <v>United Kingdom</v>
      </c>
      <c r="G132" t="s">
        <v>632</v>
      </c>
      <c r="H132" t="s">
        <v>639</v>
      </c>
      <c r="I132">
        <v>5</v>
      </c>
      <c r="J132" s="1">
        <v>42</v>
      </c>
      <c r="K132" s="1">
        <v>21</v>
      </c>
      <c r="L132" s="2">
        <v>0</v>
      </c>
      <c r="M132" t="s">
        <v>643</v>
      </c>
      <c r="N132" t="str">
        <f t="shared" si="20"/>
        <v>Credit Card</v>
      </c>
      <c r="O132" t="s">
        <v>648</v>
      </c>
      <c r="P132" t="str">
        <f t="shared" si="21"/>
        <v>Completed</v>
      </c>
      <c r="Q132" t="str">
        <f t="shared" si="22"/>
        <v>Valid</v>
      </c>
      <c r="R132" t="s">
        <v>659</v>
      </c>
      <c r="S132">
        <f t="shared" si="23"/>
        <v>210</v>
      </c>
      <c r="T132">
        <f t="shared" si="24"/>
        <v>105</v>
      </c>
      <c r="U132">
        <f t="shared" si="25"/>
        <v>105</v>
      </c>
      <c r="V132" s="8">
        <f t="shared" si="26"/>
        <v>0.5</v>
      </c>
    </row>
    <row r="133" spans="1:22" x14ac:dyDescent="0.3">
      <c r="A133" t="s">
        <v>144</v>
      </c>
      <c r="B133" s="4">
        <v>45982</v>
      </c>
      <c r="C133" t="s">
        <v>572</v>
      </c>
      <c r="D133" t="str">
        <f t="shared" si="18"/>
        <v>Olivia Davis</v>
      </c>
      <c r="E133" t="s">
        <v>623</v>
      </c>
      <c r="F133" t="str">
        <f t="shared" si="19"/>
        <v>United States</v>
      </c>
      <c r="G133" t="s">
        <v>633</v>
      </c>
      <c r="H133" t="s">
        <v>638</v>
      </c>
      <c r="I133">
        <v>5</v>
      </c>
      <c r="J133" s="1">
        <v>210</v>
      </c>
      <c r="K133" s="1">
        <v>125</v>
      </c>
      <c r="L133" s="2">
        <v>0</v>
      </c>
      <c r="M133" t="s">
        <v>646</v>
      </c>
      <c r="N133" t="str">
        <f t="shared" si="20"/>
        <v>Debit Card</v>
      </c>
      <c r="O133" t="s">
        <v>648</v>
      </c>
      <c r="P133" t="str">
        <f t="shared" si="21"/>
        <v>Completed</v>
      </c>
      <c r="Q133" t="str">
        <f t="shared" si="22"/>
        <v>Valid</v>
      </c>
      <c r="R133" t="s">
        <v>665</v>
      </c>
      <c r="S133">
        <f t="shared" si="23"/>
        <v>1050</v>
      </c>
      <c r="T133">
        <f t="shared" si="24"/>
        <v>625</v>
      </c>
      <c r="U133">
        <f t="shared" si="25"/>
        <v>425</v>
      </c>
      <c r="V133" s="8">
        <f t="shared" si="26"/>
        <v>0.40476190476190477</v>
      </c>
    </row>
    <row r="134" spans="1:22" x14ac:dyDescent="0.3">
      <c r="A134" t="s">
        <v>145</v>
      </c>
      <c r="B134" s="4">
        <v>45908</v>
      </c>
      <c r="C134" t="s">
        <v>580</v>
      </c>
      <c r="D134" t="str">
        <f t="shared" si="18"/>
        <v>Benjamin Walker</v>
      </c>
      <c r="E134" t="s">
        <v>613</v>
      </c>
      <c r="F134" t="str">
        <f t="shared" si="19"/>
        <v>Singapore</v>
      </c>
      <c r="G134" t="s">
        <v>628</v>
      </c>
      <c r="H134" t="s">
        <v>639</v>
      </c>
      <c r="I134">
        <v>5</v>
      </c>
      <c r="J134" s="1">
        <v>18</v>
      </c>
      <c r="K134" s="1">
        <v>7</v>
      </c>
      <c r="L134" s="2">
        <v>0.1</v>
      </c>
      <c r="M134" t="s">
        <v>645</v>
      </c>
      <c r="N134" t="str">
        <f t="shared" si="20"/>
        <v>Bank Transfer</v>
      </c>
      <c r="O134" t="s">
        <v>650</v>
      </c>
      <c r="P134" t="str">
        <f t="shared" si="21"/>
        <v>Cancelled</v>
      </c>
      <c r="Q134" t="str">
        <f t="shared" si="22"/>
        <v>Valid</v>
      </c>
      <c r="R134" t="s">
        <v>672</v>
      </c>
      <c r="S134">
        <f t="shared" si="23"/>
        <v>81</v>
      </c>
      <c r="T134">
        <f t="shared" si="24"/>
        <v>35</v>
      </c>
      <c r="U134">
        <f t="shared" si="25"/>
        <v>46</v>
      </c>
      <c r="V134" s="8">
        <f t="shared" si="26"/>
        <v>0.5679012345679012</v>
      </c>
    </row>
    <row r="135" spans="1:22" x14ac:dyDescent="0.3">
      <c r="A135" t="s">
        <v>146</v>
      </c>
      <c r="B135" s="4">
        <v>45818</v>
      </c>
      <c r="C135" t="s">
        <v>567</v>
      </c>
      <c r="D135" t="str">
        <f t="shared" si="18"/>
        <v>Sophia Taylor</v>
      </c>
      <c r="E135" t="s">
        <v>612</v>
      </c>
      <c r="F135" t="str">
        <f t="shared" si="19"/>
        <v>United Kingdom</v>
      </c>
      <c r="G135" t="s">
        <v>629</v>
      </c>
      <c r="H135" t="s">
        <v>640</v>
      </c>
      <c r="I135">
        <v>4</v>
      </c>
      <c r="J135" s="1">
        <v>92</v>
      </c>
      <c r="K135" s="1">
        <v>53</v>
      </c>
      <c r="L135" s="2">
        <v>0</v>
      </c>
      <c r="M135" t="s">
        <v>647</v>
      </c>
      <c r="N135" t="str">
        <f t="shared" si="20"/>
        <v>Credit Card</v>
      </c>
      <c r="O135" t="s">
        <v>648</v>
      </c>
      <c r="P135" t="str">
        <f t="shared" si="21"/>
        <v>Completed</v>
      </c>
      <c r="Q135" t="str">
        <f t="shared" si="22"/>
        <v>Valid</v>
      </c>
      <c r="R135" t="s">
        <v>660</v>
      </c>
      <c r="S135">
        <f t="shared" si="23"/>
        <v>368</v>
      </c>
      <c r="T135">
        <f t="shared" si="24"/>
        <v>212</v>
      </c>
      <c r="U135">
        <f t="shared" si="25"/>
        <v>156</v>
      </c>
      <c r="V135" s="8">
        <f t="shared" si="26"/>
        <v>0.42391304347826086</v>
      </c>
    </row>
    <row r="136" spans="1:22" x14ac:dyDescent="0.3">
      <c r="A136" t="s">
        <v>147</v>
      </c>
      <c r="B136" s="4">
        <v>45835</v>
      </c>
      <c r="C136" t="s">
        <v>564</v>
      </c>
      <c r="D136" t="str">
        <f t="shared" si="18"/>
        <v>Ava Thomas</v>
      </c>
      <c r="E136" t="s">
        <v>619</v>
      </c>
      <c r="F136" t="str">
        <f t="shared" si="19"/>
        <v>India</v>
      </c>
      <c r="G136" t="s">
        <v>634</v>
      </c>
      <c r="H136" t="s">
        <v>641</v>
      </c>
      <c r="I136">
        <v>2</v>
      </c>
      <c r="J136" s="1">
        <v>59</v>
      </c>
      <c r="K136" s="1">
        <v>30</v>
      </c>
      <c r="L136" s="2">
        <v>0</v>
      </c>
      <c r="M136" t="s">
        <v>646</v>
      </c>
      <c r="N136" t="str">
        <f t="shared" si="20"/>
        <v>Debit Card</v>
      </c>
      <c r="O136" t="s">
        <v>651</v>
      </c>
      <c r="P136" t="str">
        <f t="shared" si="21"/>
        <v>Shipped</v>
      </c>
      <c r="Q136" t="str">
        <f t="shared" si="22"/>
        <v>Valid</v>
      </c>
      <c r="R136" t="s">
        <v>657</v>
      </c>
      <c r="S136">
        <f t="shared" si="23"/>
        <v>118</v>
      </c>
      <c r="T136">
        <f t="shared" si="24"/>
        <v>60</v>
      </c>
      <c r="U136">
        <f t="shared" si="25"/>
        <v>58</v>
      </c>
      <c r="V136" s="8">
        <f t="shared" si="26"/>
        <v>0.49152542372881358</v>
      </c>
    </row>
    <row r="137" spans="1:22" x14ac:dyDescent="0.3">
      <c r="A137" t="s">
        <v>148</v>
      </c>
      <c r="B137" s="4">
        <v>45939</v>
      </c>
      <c r="C137" t="s">
        <v>571</v>
      </c>
      <c r="D137" t="str">
        <f t="shared" si="18"/>
        <v>Henry Clark</v>
      </c>
      <c r="E137" t="s">
        <v>606</v>
      </c>
      <c r="F137" t="str">
        <f t="shared" si="19"/>
        <v>Canada</v>
      </c>
      <c r="G137" t="s">
        <v>626</v>
      </c>
      <c r="H137" t="s">
        <v>638</v>
      </c>
      <c r="I137">
        <v>5</v>
      </c>
      <c r="J137" s="1">
        <v>36</v>
      </c>
      <c r="K137" s="1">
        <v>16</v>
      </c>
      <c r="L137" s="2">
        <v>0.05</v>
      </c>
      <c r="M137" t="s">
        <v>642</v>
      </c>
      <c r="N137" t="s">
        <v>644</v>
      </c>
      <c r="O137" t="s">
        <v>651</v>
      </c>
      <c r="P137" t="str">
        <f t="shared" si="21"/>
        <v>Shipped</v>
      </c>
      <c r="Q137" t="str">
        <f t="shared" si="22"/>
        <v>Valid</v>
      </c>
      <c r="R137" t="s">
        <v>664</v>
      </c>
      <c r="S137">
        <f t="shared" si="23"/>
        <v>171</v>
      </c>
      <c r="T137">
        <f t="shared" si="24"/>
        <v>80</v>
      </c>
      <c r="U137">
        <f t="shared" si="25"/>
        <v>91</v>
      </c>
      <c r="V137" s="8">
        <f t="shared" si="26"/>
        <v>0.53216374269005851</v>
      </c>
    </row>
    <row r="138" spans="1:22" x14ac:dyDescent="0.3">
      <c r="A138" t="s">
        <v>149</v>
      </c>
      <c r="B138" s="4">
        <v>45840</v>
      </c>
      <c r="C138" t="s">
        <v>569</v>
      </c>
      <c r="D138" t="str">
        <f t="shared" si="18"/>
        <v>Mia White</v>
      </c>
      <c r="E138" t="s">
        <v>620</v>
      </c>
      <c r="F138" t="str">
        <f t="shared" si="19"/>
        <v>India</v>
      </c>
      <c r="G138" t="s">
        <v>634</v>
      </c>
      <c r="H138" t="s">
        <v>641</v>
      </c>
      <c r="I138">
        <v>4</v>
      </c>
      <c r="J138" s="1">
        <v>59</v>
      </c>
      <c r="K138" s="1">
        <v>30</v>
      </c>
      <c r="L138" s="2">
        <v>0</v>
      </c>
      <c r="M138" t="s">
        <v>647</v>
      </c>
      <c r="N138" t="str">
        <f t="shared" si="20"/>
        <v>Credit Card</v>
      </c>
      <c r="O138" t="s">
        <v>648</v>
      </c>
      <c r="P138" t="str">
        <f t="shared" si="21"/>
        <v>Completed</v>
      </c>
      <c r="Q138" t="str">
        <f t="shared" si="22"/>
        <v>Valid</v>
      </c>
      <c r="R138" t="s">
        <v>662</v>
      </c>
      <c r="S138">
        <f t="shared" si="23"/>
        <v>236</v>
      </c>
      <c r="T138">
        <f t="shared" si="24"/>
        <v>120</v>
      </c>
      <c r="U138">
        <f t="shared" si="25"/>
        <v>116</v>
      </c>
      <c r="V138" s="8">
        <f t="shared" si="26"/>
        <v>0.49152542372881358</v>
      </c>
    </row>
    <row r="139" spans="1:22" x14ac:dyDescent="0.3">
      <c r="A139" t="s">
        <v>150</v>
      </c>
      <c r="B139" s="4">
        <v>45928</v>
      </c>
      <c r="C139" t="s">
        <v>590</v>
      </c>
      <c r="D139" t="str">
        <f t="shared" si="18"/>
        <v>Mia White</v>
      </c>
      <c r="E139" t="s">
        <v>606</v>
      </c>
      <c r="F139" t="str">
        <f t="shared" si="19"/>
        <v>Canada</v>
      </c>
      <c r="G139" t="s">
        <v>635</v>
      </c>
      <c r="H139" t="s">
        <v>639</v>
      </c>
      <c r="I139">
        <v>4</v>
      </c>
      <c r="J139" s="1">
        <v>65</v>
      </c>
      <c r="K139" s="1">
        <v>31</v>
      </c>
      <c r="L139" s="2">
        <v>0</v>
      </c>
      <c r="M139" t="s">
        <v>646</v>
      </c>
      <c r="N139" t="str">
        <f t="shared" si="20"/>
        <v>Debit Card</v>
      </c>
      <c r="O139" t="s">
        <v>650</v>
      </c>
      <c r="P139" t="str">
        <f t="shared" si="21"/>
        <v>Cancelled</v>
      </c>
      <c r="Q139" t="str">
        <f t="shared" si="22"/>
        <v>Valid</v>
      </c>
      <c r="R139" t="s">
        <v>662</v>
      </c>
      <c r="S139">
        <f t="shared" si="23"/>
        <v>260</v>
      </c>
      <c r="T139">
        <f t="shared" si="24"/>
        <v>124</v>
      </c>
      <c r="U139">
        <f t="shared" si="25"/>
        <v>136</v>
      </c>
      <c r="V139" s="8">
        <f t="shared" si="26"/>
        <v>0.52307692307692311</v>
      </c>
    </row>
    <row r="140" spans="1:22" x14ac:dyDescent="0.3">
      <c r="A140" t="s">
        <v>151</v>
      </c>
      <c r="B140" s="4">
        <v>45761</v>
      </c>
      <c r="C140" t="s">
        <v>578</v>
      </c>
      <c r="D140" t="str">
        <f t="shared" si="18"/>
        <v>Ella Martin</v>
      </c>
      <c r="E140" t="s">
        <v>619</v>
      </c>
      <c r="F140" t="str">
        <f t="shared" si="19"/>
        <v>India</v>
      </c>
      <c r="G140" t="s">
        <v>630</v>
      </c>
      <c r="H140" t="s">
        <v>640</v>
      </c>
      <c r="I140">
        <v>2</v>
      </c>
      <c r="J140" s="1">
        <v>78</v>
      </c>
      <c r="K140" s="1">
        <v>45</v>
      </c>
      <c r="L140" s="2">
        <v>0.15</v>
      </c>
      <c r="M140" t="s">
        <v>644</v>
      </c>
      <c r="N140" t="s">
        <v>644</v>
      </c>
      <c r="O140" t="s">
        <v>649</v>
      </c>
      <c r="P140" t="str">
        <f t="shared" si="21"/>
        <v>Pending</v>
      </c>
      <c r="Q140" t="str">
        <f t="shared" si="22"/>
        <v>Valid</v>
      </c>
      <c r="R140" t="s">
        <v>671</v>
      </c>
      <c r="S140">
        <f t="shared" si="23"/>
        <v>132.6</v>
      </c>
      <c r="T140">
        <f t="shared" si="24"/>
        <v>90</v>
      </c>
      <c r="U140">
        <f t="shared" si="25"/>
        <v>42.599999999999994</v>
      </c>
      <c r="V140" s="8">
        <f t="shared" si="26"/>
        <v>0.32126696832579182</v>
      </c>
    </row>
    <row r="141" spans="1:22" x14ac:dyDescent="0.3">
      <c r="A141" t="s">
        <v>152</v>
      </c>
      <c r="B141" s="4">
        <v>45741</v>
      </c>
      <c r="C141" t="s">
        <v>580</v>
      </c>
      <c r="D141" t="str">
        <f t="shared" si="18"/>
        <v>Benjamin Walker</v>
      </c>
      <c r="E141" t="s">
        <v>601</v>
      </c>
      <c r="F141" t="str">
        <f t="shared" si="19"/>
        <v>United Kingdom</v>
      </c>
      <c r="G141" t="s">
        <v>631</v>
      </c>
      <c r="H141" t="s">
        <v>641</v>
      </c>
      <c r="I141">
        <v>4</v>
      </c>
      <c r="J141" s="1">
        <v>85</v>
      </c>
      <c r="K141" s="1">
        <v>44</v>
      </c>
      <c r="L141" s="2">
        <v>0</v>
      </c>
      <c r="M141" t="s">
        <v>647</v>
      </c>
      <c r="N141" t="str">
        <f t="shared" si="20"/>
        <v>Credit Card</v>
      </c>
      <c r="O141" t="s">
        <v>648</v>
      </c>
      <c r="P141" t="str">
        <f t="shared" si="21"/>
        <v>Completed</v>
      </c>
      <c r="Q141" t="str">
        <f t="shared" si="22"/>
        <v>Valid</v>
      </c>
      <c r="R141" t="s">
        <v>672</v>
      </c>
      <c r="S141">
        <f t="shared" si="23"/>
        <v>340</v>
      </c>
      <c r="T141">
        <f t="shared" si="24"/>
        <v>176</v>
      </c>
      <c r="U141">
        <f t="shared" si="25"/>
        <v>164</v>
      </c>
      <c r="V141" s="8">
        <f t="shared" si="26"/>
        <v>0.4823529411764706</v>
      </c>
    </row>
    <row r="142" spans="1:22" x14ac:dyDescent="0.3">
      <c r="A142" t="s">
        <v>153</v>
      </c>
      <c r="B142" s="4">
        <v>45669</v>
      </c>
      <c r="C142" t="s">
        <v>575</v>
      </c>
      <c r="D142" t="str">
        <f t="shared" si="18"/>
        <v>Lucas Jackson</v>
      </c>
      <c r="E142" t="s">
        <v>602</v>
      </c>
      <c r="F142" t="str">
        <f t="shared" si="19"/>
        <v>Australia</v>
      </c>
      <c r="G142" t="s">
        <v>637</v>
      </c>
      <c r="H142" t="s">
        <v>641</v>
      </c>
      <c r="I142">
        <v>5</v>
      </c>
      <c r="J142" s="1">
        <v>175</v>
      </c>
      <c r="K142" s="1">
        <v>105</v>
      </c>
      <c r="L142" s="2">
        <v>0.1</v>
      </c>
      <c r="M142" t="s">
        <v>647</v>
      </c>
      <c r="N142" t="str">
        <f t="shared" si="20"/>
        <v>Credit Card</v>
      </c>
      <c r="O142" t="s">
        <v>649</v>
      </c>
      <c r="P142" t="str">
        <f t="shared" si="21"/>
        <v>Pending</v>
      </c>
      <c r="Q142" t="str">
        <f t="shared" si="22"/>
        <v>Valid</v>
      </c>
      <c r="R142" t="s">
        <v>668</v>
      </c>
      <c r="S142">
        <f t="shared" si="23"/>
        <v>787.5</v>
      </c>
      <c r="T142">
        <f t="shared" si="24"/>
        <v>525</v>
      </c>
      <c r="U142">
        <f t="shared" si="25"/>
        <v>262.5</v>
      </c>
      <c r="V142" s="8">
        <f t="shared" si="26"/>
        <v>0.33333333333333331</v>
      </c>
    </row>
    <row r="143" spans="1:22" x14ac:dyDescent="0.3">
      <c r="A143" t="s">
        <v>154</v>
      </c>
      <c r="B143" s="4">
        <v>46008</v>
      </c>
      <c r="C143" t="s">
        <v>564</v>
      </c>
      <c r="D143" t="str">
        <f t="shared" si="18"/>
        <v>Ava Thomas</v>
      </c>
      <c r="E143" t="s">
        <v>617</v>
      </c>
      <c r="F143" t="str">
        <f t="shared" si="19"/>
        <v>Germany</v>
      </c>
      <c r="G143" t="s">
        <v>633</v>
      </c>
      <c r="H143" t="s">
        <v>638</v>
      </c>
      <c r="I143">
        <v>3</v>
      </c>
      <c r="J143" s="1">
        <v>210</v>
      </c>
      <c r="K143" s="1">
        <v>125</v>
      </c>
      <c r="L143" s="2">
        <v>0</v>
      </c>
      <c r="M143" t="s">
        <v>645</v>
      </c>
      <c r="N143" t="str">
        <f t="shared" si="20"/>
        <v>Bank Transfer</v>
      </c>
      <c r="O143" t="s">
        <v>651</v>
      </c>
      <c r="P143" t="str">
        <f t="shared" si="21"/>
        <v>Shipped</v>
      </c>
      <c r="Q143" t="str">
        <f t="shared" si="22"/>
        <v>Valid</v>
      </c>
      <c r="R143" t="s">
        <v>657</v>
      </c>
      <c r="S143">
        <f t="shared" si="23"/>
        <v>630</v>
      </c>
      <c r="T143">
        <f t="shared" si="24"/>
        <v>375</v>
      </c>
      <c r="U143">
        <f t="shared" si="25"/>
        <v>255</v>
      </c>
      <c r="V143" s="8">
        <f t="shared" si="26"/>
        <v>0.40476190476190477</v>
      </c>
    </row>
    <row r="144" spans="1:22" x14ac:dyDescent="0.3">
      <c r="A144" t="s">
        <v>155</v>
      </c>
      <c r="B144" s="4">
        <v>45716</v>
      </c>
      <c r="C144" t="s">
        <v>564</v>
      </c>
      <c r="D144" t="str">
        <f t="shared" si="18"/>
        <v>Ava Thomas</v>
      </c>
      <c r="E144" t="s">
        <v>623</v>
      </c>
      <c r="F144" t="str">
        <f t="shared" si="19"/>
        <v>United States</v>
      </c>
      <c r="G144" t="s">
        <v>632</v>
      </c>
      <c r="H144" t="s">
        <v>639</v>
      </c>
      <c r="I144">
        <v>3</v>
      </c>
      <c r="J144" s="1">
        <v>42</v>
      </c>
      <c r="K144" s="1">
        <v>21</v>
      </c>
      <c r="L144" s="2">
        <v>0.1</v>
      </c>
      <c r="M144" t="s">
        <v>645</v>
      </c>
      <c r="N144" t="str">
        <f t="shared" si="20"/>
        <v>Bank Transfer</v>
      </c>
      <c r="O144" t="s">
        <v>651</v>
      </c>
      <c r="P144" t="str">
        <f t="shared" si="21"/>
        <v>Shipped</v>
      </c>
      <c r="Q144" t="str">
        <f t="shared" si="22"/>
        <v>Valid</v>
      </c>
      <c r="R144" t="s">
        <v>657</v>
      </c>
      <c r="S144">
        <f t="shared" si="23"/>
        <v>113.4</v>
      </c>
      <c r="T144">
        <f t="shared" si="24"/>
        <v>63</v>
      </c>
      <c r="U144">
        <f t="shared" si="25"/>
        <v>50.400000000000006</v>
      </c>
      <c r="V144" s="8">
        <f t="shared" si="26"/>
        <v>0.44444444444444448</v>
      </c>
    </row>
    <row r="145" spans="1:22" x14ac:dyDescent="0.3">
      <c r="A145" t="s">
        <v>156</v>
      </c>
      <c r="B145" s="4">
        <v>45893</v>
      </c>
      <c r="C145" t="s">
        <v>580</v>
      </c>
      <c r="D145" t="str">
        <f t="shared" si="18"/>
        <v>Benjamin Walker</v>
      </c>
      <c r="E145" t="s">
        <v>624</v>
      </c>
      <c r="F145" t="str">
        <f t="shared" si="19"/>
        <v>United Arab Emirates</v>
      </c>
      <c r="G145" t="s">
        <v>636</v>
      </c>
      <c r="H145" t="s">
        <v>641</v>
      </c>
      <c r="I145">
        <v>3</v>
      </c>
      <c r="J145" s="1">
        <v>245</v>
      </c>
      <c r="K145" s="1">
        <v>150</v>
      </c>
      <c r="L145" s="2">
        <v>0</v>
      </c>
      <c r="M145" t="s">
        <v>642</v>
      </c>
      <c r="N145" t="s">
        <v>644</v>
      </c>
      <c r="O145" t="s">
        <v>648</v>
      </c>
      <c r="P145" t="str">
        <f t="shared" si="21"/>
        <v>Completed</v>
      </c>
      <c r="Q145" t="str">
        <f t="shared" si="22"/>
        <v>Valid</v>
      </c>
      <c r="R145" t="s">
        <v>672</v>
      </c>
      <c r="S145">
        <f t="shared" si="23"/>
        <v>735</v>
      </c>
      <c r="T145">
        <f t="shared" si="24"/>
        <v>450</v>
      </c>
      <c r="U145">
        <f t="shared" si="25"/>
        <v>285</v>
      </c>
      <c r="V145" s="8">
        <f t="shared" si="26"/>
        <v>0.38775510204081631</v>
      </c>
    </row>
    <row r="146" spans="1:22" x14ac:dyDescent="0.3">
      <c r="A146" t="s">
        <v>157</v>
      </c>
      <c r="B146" s="4">
        <v>45805</v>
      </c>
      <c r="C146" t="s">
        <v>564</v>
      </c>
      <c r="D146" t="str">
        <f t="shared" si="18"/>
        <v>Ava Thomas</v>
      </c>
      <c r="E146" t="s">
        <v>605</v>
      </c>
      <c r="F146" t="str">
        <f t="shared" si="19"/>
        <v>Singapore</v>
      </c>
      <c r="G146" t="s">
        <v>628</v>
      </c>
      <c r="H146" t="s">
        <v>639</v>
      </c>
      <c r="I146">
        <v>2</v>
      </c>
      <c r="J146" s="1">
        <v>18</v>
      </c>
      <c r="K146" s="1">
        <v>7</v>
      </c>
      <c r="L146" s="2">
        <v>0.05</v>
      </c>
      <c r="M146" t="s">
        <v>642</v>
      </c>
      <c r="N146" t="s">
        <v>644</v>
      </c>
      <c r="O146" t="s">
        <v>648</v>
      </c>
      <c r="P146" t="str">
        <f t="shared" si="21"/>
        <v>Completed</v>
      </c>
      <c r="Q146" t="str">
        <f t="shared" si="22"/>
        <v>Missing</v>
      </c>
      <c r="S146">
        <f t="shared" si="23"/>
        <v>34.199999999999996</v>
      </c>
      <c r="T146">
        <f t="shared" si="24"/>
        <v>14</v>
      </c>
      <c r="U146">
        <f t="shared" si="25"/>
        <v>20.199999999999996</v>
      </c>
      <c r="V146" s="8">
        <f t="shared" si="26"/>
        <v>0.59064327485380108</v>
      </c>
    </row>
    <row r="147" spans="1:22" x14ac:dyDescent="0.3">
      <c r="A147" t="s">
        <v>158</v>
      </c>
      <c r="B147" s="4">
        <v>45841</v>
      </c>
      <c r="C147" t="s">
        <v>572</v>
      </c>
      <c r="D147" t="str">
        <f t="shared" si="18"/>
        <v>Olivia Davis</v>
      </c>
      <c r="E147" t="s">
        <v>622</v>
      </c>
      <c r="F147" t="str">
        <f t="shared" si="19"/>
        <v>United Arab Emirates</v>
      </c>
      <c r="G147" t="s">
        <v>628</v>
      </c>
      <c r="H147" t="s">
        <v>639</v>
      </c>
      <c r="I147">
        <v>5</v>
      </c>
      <c r="J147" s="1">
        <v>18</v>
      </c>
      <c r="K147" s="1">
        <v>7</v>
      </c>
      <c r="L147" s="2">
        <v>0</v>
      </c>
      <c r="M147" t="s">
        <v>643</v>
      </c>
      <c r="N147" t="str">
        <f t="shared" si="20"/>
        <v>Credit Card</v>
      </c>
      <c r="O147" t="s">
        <v>650</v>
      </c>
      <c r="P147" t="str">
        <f t="shared" si="21"/>
        <v>Cancelled</v>
      </c>
      <c r="Q147" t="str">
        <f t="shared" si="22"/>
        <v>Valid</v>
      </c>
      <c r="R147" t="s">
        <v>665</v>
      </c>
      <c r="S147">
        <f t="shared" si="23"/>
        <v>90</v>
      </c>
      <c r="T147">
        <f t="shared" si="24"/>
        <v>35</v>
      </c>
      <c r="U147">
        <f t="shared" si="25"/>
        <v>55</v>
      </c>
      <c r="V147" s="8">
        <f t="shared" si="26"/>
        <v>0.61111111111111116</v>
      </c>
    </row>
    <row r="148" spans="1:22" x14ac:dyDescent="0.3">
      <c r="A148" t="s">
        <v>159</v>
      </c>
      <c r="B148" s="4">
        <v>45959</v>
      </c>
      <c r="C148" t="s">
        <v>563</v>
      </c>
      <c r="D148" t="str">
        <f t="shared" si="18"/>
        <v>Liam Miller</v>
      </c>
      <c r="E148" t="s">
        <v>622</v>
      </c>
      <c r="F148" t="str">
        <f t="shared" si="19"/>
        <v>United Arab Emirates</v>
      </c>
      <c r="G148" t="s">
        <v>634</v>
      </c>
      <c r="H148" t="s">
        <v>641</v>
      </c>
      <c r="I148">
        <v>3</v>
      </c>
      <c r="J148" s="1">
        <v>59</v>
      </c>
      <c r="K148" s="1">
        <v>30</v>
      </c>
      <c r="L148" s="2">
        <v>0.1</v>
      </c>
      <c r="M148" t="s">
        <v>645</v>
      </c>
      <c r="N148" t="str">
        <f t="shared" si="20"/>
        <v>Bank Transfer</v>
      </c>
      <c r="O148" t="s">
        <v>650</v>
      </c>
      <c r="P148" t="str">
        <f t="shared" si="21"/>
        <v>Cancelled</v>
      </c>
      <c r="Q148" t="str">
        <f t="shared" si="22"/>
        <v>Valid</v>
      </c>
      <c r="R148" t="s">
        <v>656</v>
      </c>
      <c r="S148">
        <f t="shared" si="23"/>
        <v>159.30000000000001</v>
      </c>
      <c r="T148">
        <f t="shared" si="24"/>
        <v>90</v>
      </c>
      <c r="U148">
        <f t="shared" si="25"/>
        <v>69.300000000000011</v>
      </c>
      <c r="V148" s="8">
        <f t="shared" si="26"/>
        <v>0.43502824858757067</v>
      </c>
    </row>
    <row r="149" spans="1:22" x14ac:dyDescent="0.3">
      <c r="A149" t="s">
        <v>160</v>
      </c>
      <c r="B149" s="4">
        <v>45770</v>
      </c>
      <c r="C149" t="s">
        <v>572</v>
      </c>
      <c r="D149" t="str">
        <f t="shared" si="18"/>
        <v>Olivia Davis</v>
      </c>
      <c r="E149" t="s">
        <v>609</v>
      </c>
      <c r="F149" t="str">
        <f t="shared" si="19"/>
        <v>Singapore</v>
      </c>
      <c r="G149" t="s">
        <v>633</v>
      </c>
      <c r="H149" t="s">
        <v>638</v>
      </c>
      <c r="I149">
        <v>5</v>
      </c>
      <c r="J149" s="1">
        <v>210</v>
      </c>
      <c r="K149" s="1">
        <v>125</v>
      </c>
      <c r="L149" s="2">
        <v>0</v>
      </c>
      <c r="M149" t="s">
        <v>643</v>
      </c>
      <c r="N149" t="str">
        <f t="shared" si="20"/>
        <v>Credit Card</v>
      </c>
      <c r="O149" t="s">
        <v>648</v>
      </c>
      <c r="P149" t="str">
        <f t="shared" si="21"/>
        <v>Completed</v>
      </c>
      <c r="Q149" t="str">
        <f t="shared" si="22"/>
        <v>Valid</v>
      </c>
      <c r="R149" t="s">
        <v>665</v>
      </c>
      <c r="S149">
        <f t="shared" si="23"/>
        <v>1050</v>
      </c>
      <c r="T149">
        <f t="shared" si="24"/>
        <v>625</v>
      </c>
      <c r="U149">
        <f t="shared" si="25"/>
        <v>425</v>
      </c>
      <c r="V149" s="8">
        <f t="shared" si="26"/>
        <v>0.40476190476190477</v>
      </c>
    </row>
    <row r="150" spans="1:22" x14ac:dyDescent="0.3">
      <c r="A150" t="s">
        <v>161</v>
      </c>
      <c r="B150" s="4">
        <v>45951</v>
      </c>
      <c r="C150" t="s">
        <v>580</v>
      </c>
      <c r="D150" t="str">
        <f t="shared" si="18"/>
        <v>Benjamin Walker</v>
      </c>
      <c r="E150" t="s">
        <v>618</v>
      </c>
      <c r="F150" t="str">
        <f t="shared" si="19"/>
        <v>United Kingdom</v>
      </c>
      <c r="G150" t="s">
        <v>632</v>
      </c>
      <c r="H150" t="s">
        <v>639</v>
      </c>
      <c r="I150">
        <v>5</v>
      </c>
      <c r="J150" s="1">
        <v>42</v>
      </c>
      <c r="K150" s="1">
        <v>21</v>
      </c>
      <c r="L150" s="2">
        <v>0.05</v>
      </c>
      <c r="M150" t="s">
        <v>644</v>
      </c>
      <c r="N150" t="s">
        <v>644</v>
      </c>
      <c r="O150" t="s">
        <v>650</v>
      </c>
      <c r="P150" t="str">
        <f t="shared" si="21"/>
        <v>Cancelled</v>
      </c>
      <c r="Q150" t="str">
        <f t="shared" si="22"/>
        <v>Valid</v>
      </c>
      <c r="R150" t="s">
        <v>672</v>
      </c>
      <c r="S150">
        <f t="shared" si="23"/>
        <v>199.5</v>
      </c>
      <c r="T150">
        <f t="shared" si="24"/>
        <v>105</v>
      </c>
      <c r="U150">
        <f t="shared" si="25"/>
        <v>94.5</v>
      </c>
      <c r="V150" s="8">
        <f t="shared" si="26"/>
        <v>0.47368421052631576</v>
      </c>
    </row>
    <row r="151" spans="1:22" x14ac:dyDescent="0.3">
      <c r="A151" t="s">
        <v>162</v>
      </c>
      <c r="B151" s="4">
        <v>45829</v>
      </c>
      <c r="C151" t="s">
        <v>576</v>
      </c>
      <c r="D151" t="str">
        <f t="shared" si="18"/>
        <v>Chloe Lewis</v>
      </c>
      <c r="E151" t="s">
        <v>613</v>
      </c>
      <c r="F151" t="str">
        <f t="shared" si="19"/>
        <v>Singapore</v>
      </c>
      <c r="G151" t="s">
        <v>636</v>
      </c>
      <c r="H151" t="s">
        <v>641</v>
      </c>
      <c r="I151">
        <v>3</v>
      </c>
      <c r="J151" s="1">
        <v>245</v>
      </c>
      <c r="K151" s="1">
        <v>150</v>
      </c>
      <c r="L151" s="2">
        <v>0.2</v>
      </c>
      <c r="M151" t="s">
        <v>645</v>
      </c>
      <c r="N151" t="str">
        <f t="shared" si="20"/>
        <v>Bank Transfer</v>
      </c>
      <c r="O151" t="s">
        <v>648</v>
      </c>
      <c r="P151" t="str">
        <f t="shared" si="21"/>
        <v>Completed</v>
      </c>
      <c r="Q151" t="str">
        <f t="shared" si="22"/>
        <v>Valid</v>
      </c>
      <c r="R151" t="s">
        <v>669</v>
      </c>
      <c r="S151">
        <f t="shared" si="23"/>
        <v>588</v>
      </c>
      <c r="T151">
        <f t="shared" si="24"/>
        <v>450</v>
      </c>
      <c r="U151">
        <f t="shared" si="25"/>
        <v>138</v>
      </c>
      <c r="V151" s="8">
        <f t="shared" si="26"/>
        <v>0.23469387755102042</v>
      </c>
    </row>
    <row r="152" spans="1:22" x14ac:dyDescent="0.3">
      <c r="A152" t="s">
        <v>163</v>
      </c>
      <c r="B152" s="4">
        <v>45829</v>
      </c>
      <c r="C152" t="s">
        <v>574</v>
      </c>
      <c r="D152" t="str">
        <f t="shared" si="18"/>
        <v>Sophia Taylor</v>
      </c>
      <c r="E152" t="s">
        <v>602</v>
      </c>
      <c r="F152" t="str">
        <f t="shared" si="19"/>
        <v>Australia</v>
      </c>
      <c r="G152" t="s">
        <v>631</v>
      </c>
      <c r="H152" t="s">
        <v>641</v>
      </c>
      <c r="I152">
        <v>5</v>
      </c>
      <c r="J152" s="1">
        <v>85</v>
      </c>
      <c r="K152" s="1">
        <v>44</v>
      </c>
      <c r="L152" s="2">
        <v>0.05</v>
      </c>
      <c r="M152" t="s">
        <v>642</v>
      </c>
      <c r="N152" t="s">
        <v>644</v>
      </c>
      <c r="O152" t="s">
        <v>648</v>
      </c>
      <c r="P152" t="str">
        <f t="shared" si="21"/>
        <v>Completed</v>
      </c>
      <c r="Q152" t="str">
        <f t="shared" si="22"/>
        <v>Valid</v>
      </c>
      <c r="R152" t="s">
        <v>660</v>
      </c>
      <c r="S152">
        <f t="shared" si="23"/>
        <v>403.75</v>
      </c>
      <c r="T152">
        <f t="shared" si="24"/>
        <v>220</v>
      </c>
      <c r="U152">
        <f t="shared" si="25"/>
        <v>183.75</v>
      </c>
      <c r="V152" s="8">
        <f t="shared" si="26"/>
        <v>0.45510835913312692</v>
      </c>
    </row>
    <row r="153" spans="1:22" x14ac:dyDescent="0.3">
      <c r="A153" t="s">
        <v>164</v>
      </c>
      <c r="B153" s="4">
        <v>45780</v>
      </c>
      <c r="C153" t="s">
        <v>568</v>
      </c>
      <c r="D153" t="str">
        <f t="shared" si="18"/>
        <v>Daniel Harris</v>
      </c>
      <c r="E153" t="s">
        <v>616</v>
      </c>
      <c r="F153" t="str">
        <f t="shared" si="19"/>
        <v>United Kingdom</v>
      </c>
      <c r="G153" t="s">
        <v>635</v>
      </c>
      <c r="H153" t="s">
        <v>639</v>
      </c>
      <c r="I153">
        <v>4</v>
      </c>
      <c r="J153" s="1">
        <v>65</v>
      </c>
      <c r="K153" s="1">
        <v>31</v>
      </c>
      <c r="L153" s="2">
        <v>0</v>
      </c>
      <c r="M153" t="s">
        <v>647</v>
      </c>
      <c r="N153" t="str">
        <f t="shared" si="20"/>
        <v>Credit Card</v>
      </c>
      <c r="O153" t="s">
        <v>649</v>
      </c>
      <c r="P153" t="str">
        <f t="shared" si="21"/>
        <v>Pending</v>
      </c>
      <c r="Q153" t="str">
        <f t="shared" si="22"/>
        <v>Valid</v>
      </c>
      <c r="R153" t="s">
        <v>666</v>
      </c>
      <c r="S153">
        <f t="shared" si="23"/>
        <v>260</v>
      </c>
      <c r="T153">
        <f t="shared" si="24"/>
        <v>124</v>
      </c>
      <c r="U153">
        <f t="shared" si="25"/>
        <v>136</v>
      </c>
      <c r="V153" s="8">
        <f t="shared" si="26"/>
        <v>0.52307692307692311</v>
      </c>
    </row>
    <row r="154" spans="1:22" x14ac:dyDescent="0.3">
      <c r="A154" t="s">
        <v>165</v>
      </c>
      <c r="B154" s="4">
        <v>45873</v>
      </c>
      <c r="C154" t="s">
        <v>591</v>
      </c>
      <c r="D154" t="str">
        <f t="shared" si="18"/>
        <v>James Thompson</v>
      </c>
      <c r="E154" t="s">
        <v>620</v>
      </c>
      <c r="F154" t="str">
        <f t="shared" si="19"/>
        <v>India</v>
      </c>
      <c r="G154" t="s">
        <v>631</v>
      </c>
      <c r="H154" t="s">
        <v>641</v>
      </c>
      <c r="I154">
        <v>1</v>
      </c>
      <c r="J154" s="1">
        <v>85</v>
      </c>
      <c r="K154" s="1">
        <v>44</v>
      </c>
      <c r="L154" s="2">
        <v>0.1</v>
      </c>
      <c r="M154" t="s">
        <v>644</v>
      </c>
      <c r="N154" t="s">
        <v>644</v>
      </c>
      <c r="O154" t="s">
        <v>651</v>
      </c>
      <c r="P154" t="str">
        <f t="shared" si="21"/>
        <v>Shipped</v>
      </c>
      <c r="Q154" t="str">
        <f t="shared" si="22"/>
        <v>Valid</v>
      </c>
      <c r="R154" t="s">
        <v>675</v>
      </c>
      <c r="S154">
        <f t="shared" si="23"/>
        <v>76.5</v>
      </c>
      <c r="T154">
        <f t="shared" si="24"/>
        <v>44</v>
      </c>
      <c r="U154">
        <f t="shared" si="25"/>
        <v>32.5</v>
      </c>
      <c r="V154" s="8">
        <f t="shared" si="26"/>
        <v>0.42483660130718953</v>
      </c>
    </row>
    <row r="155" spans="1:22" x14ac:dyDescent="0.3">
      <c r="A155" t="s">
        <v>166</v>
      </c>
      <c r="B155" s="4">
        <v>45955</v>
      </c>
      <c r="C155" t="s">
        <v>568</v>
      </c>
      <c r="D155" t="str">
        <f t="shared" si="18"/>
        <v>Daniel Harris</v>
      </c>
      <c r="E155" t="s">
        <v>620</v>
      </c>
      <c r="F155" t="str">
        <f t="shared" si="19"/>
        <v>India</v>
      </c>
      <c r="G155" t="s">
        <v>637</v>
      </c>
      <c r="H155" t="s">
        <v>641</v>
      </c>
      <c r="I155">
        <v>2</v>
      </c>
      <c r="J155" s="1">
        <v>175</v>
      </c>
      <c r="K155" s="1">
        <v>105</v>
      </c>
      <c r="L155" s="2">
        <v>0.05</v>
      </c>
      <c r="M155" t="s">
        <v>643</v>
      </c>
      <c r="N155" t="str">
        <f t="shared" si="20"/>
        <v>Credit Card</v>
      </c>
      <c r="O155" t="s">
        <v>649</v>
      </c>
      <c r="P155" t="str">
        <f t="shared" si="21"/>
        <v>Pending</v>
      </c>
      <c r="Q155" t="str">
        <f t="shared" si="22"/>
        <v>Valid</v>
      </c>
      <c r="R155" t="s">
        <v>666</v>
      </c>
      <c r="S155">
        <f t="shared" si="23"/>
        <v>332.5</v>
      </c>
      <c r="T155">
        <f t="shared" si="24"/>
        <v>210</v>
      </c>
      <c r="U155">
        <f t="shared" si="25"/>
        <v>122.5</v>
      </c>
      <c r="V155" s="8">
        <f t="shared" si="26"/>
        <v>0.36842105263157893</v>
      </c>
    </row>
    <row r="156" spans="1:22" x14ac:dyDescent="0.3">
      <c r="A156" t="s">
        <v>167</v>
      </c>
      <c r="B156" s="4">
        <v>45769</v>
      </c>
      <c r="C156" t="s">
        <v>567</v>
      </c>
      <c r="D156" t="str">
        <f t="shared" si="18"/>
        <v>Sophia Taylor</v>
      </c>
      <c r="E156" t="s">
        <v>617</v>
      </c>
      <c r="F156" t="str">
        <f t="shared" si="19"/>
        <v>Germany</v>
      </c>
      <c r="G156" t="s">
        <v>629</v>
      </c>
      <c r="H156" t="s">
        <v>640</v>
      </c>
      <c r="I156">
        <v>1</v>
      </c>
      <c r="J156" s="1">
        <v>92</v>
      </c>
      <c r="K156" s="1">
        <v>53</v>
      </c>
      <c r="L156" s="2">
        <v>0.05</v>
      </c>
      <c r="M156" t="s">
        <v>646</v>
      </c>
      <c r="N156" t="str">
        <f t="shared" si="20"/>
        <v>Debit Card</v>
      </c>
      <c r="O156" t="s">
        <v>651</v>
      </c>
      <c r="P156" t="str">
        <f t="shared" si="21"/>
        <v>Shipped</v>
      </c>
      <c r="Q156" t="str">
        <f t="shared" si="22"/>
        <v>Valid</v>
      </c>
      <c r="R156" t="s">
        <v>660</v>
      </c>
      <c r="S156">
        <f t="shared" si="23"/>
        <v>87.399999999999991</v>
      </c>
      <c r="T156">
        <f t="shared" si="24"/>
        <v>53</v>
      </c>
      <c r="U156">
        <f t="shared" si="25"/>
        <v>34.399999999999991</v>
      </c>
      <c r="V156" s="8">
        <f t="shared" si="26"/>
        <v>0.39359267734553771</v>
      </c>
    </row>
    <row r="157" spans="1:22" x14ac:dyDescent="0.3">
      <c r="A157" t="s">
        <v>168</v>
      </c>
      <c r="B157" s="4">
        <v>45833</v>
      </c>
      <c r="C157" t="s">
        <v>564</v>
      </c>
      <c r="D157" t="str">
        <f t="shared" si="18"/>
        <v>Ava Thomas</v>
      </c>
      <c r="F157" t="s">
        <v>717</v>
      </c>
      <c r="G157" t="s">
        <v>628</v>
      </c>
      <c r="H157" t="s">
        <v>639</v>
      </c>
      <c r="I157">
        <v>1</v>
      </c>
      <c r="J157" s="1">
        <v>18</v>
      </c>
      <c r="K157" s="1">
        <v>7</v>
      </c>
      <c r="L157" s="2">
        <v>0</v>
      </c>
      <c r="M157" t="s">
        <v>643</v>
      </c>
      <c r="N157" t="str">
        <f t="shared" si="20"/>
        <v>Credit Card</v>
      </c>
      <c r="O157" t="s">
        <v>648</v>
      </c>
      <c r="P157" t="str">
        <f t="shared" si="21"/>
        <v>Completed</v>
      </c>
      <c r="Q157" t="str">
        <f t="shared" si="22"/>
        <v>Valid</v>
      </c>
      <c r="R157" t="s">
        <v>657</v>
      </c>
      <c r="S157">
        <f t="shared" si="23"/>
        <v>18</v>
      </c>
      <c r="T157">
        <f t="shared" si="24"/>
        <v>7</v>
      </c>
      <c r="U157">
        <f t="shared" si="25"/>
        <v>11</v>
      </c>
      <c r="V157" s="8">
        <f t="shared" si="26"/>
        <v>0.61111111111111116</v>
      </c>
    </row>
    <row r="158" spans="1:22" x14ac:dyDescent="0.3">
      <c r="A158" t="s">
        <v>169</v>
      </c>
      <c r="B158" s="4">
        <v>45695</v>
      </c>
      <c r="C158" t="s">
        <v>577</v>
      </c>
      <c r="D158" t="str">
        <f t="shared" si="18"/>
        <v>Emma Wilson</v>
      </c>
      <c r="E158" t="s">
        <v>606</v>
      </c>
      <c r="F158" t="str">
        <f t="shared" si="19"/>
        <v>Canada</v>
      </c>
      <c r="G158" t="s">
        <v>635</v>
      </c>
      <c r="H158" t="s">
        <v>639</v>
      </c>
      <c r="I158">
        <v>1</v>
      </c>
      <c r="J158" s="1">
        <v>65</v>
      </c>
      <c r="K158" s="1">
        <v>31</v>
      </c>
      <c r="L158" s="2">
        <v>0.15</v>
      </c>
      <c r="M158" t="s">
        <v>646</v>
      </c>
      <c r="N158" t="str">
        <f t="shared" si="20"/>
        <v>Debit Card</v>
      </c>
      <c r="O158" t="s">
        <v>649</v>
      </c>
      <c r="P158" t="str">
        <f t="shared" si="21"/>
        <v>Pending</v>
      </c>
      <c r="Q158" t="str">
        <f t="shared" si="22"/>
        <v>Valid</v>
      </c>
      <c r="R158" t="s">
        <v>670</v>
      </c>
      <c r="S158">
        <f t="shared" si="23"/>
        <v>55.25</v>
      </c>
      <c r="T158">
        <f t="shared" si="24"/>
        <v>31</v>
      </c>
      <c r="U158">
        <f t="shared" si="25"/>
        <v>24.25</v>
      </c>
      <c r="V158" s="8">
        <f t="shared" si="26"/>
        <v>0.43891402714932126</v>
      </c>
    </row>
    <row r="159" spans="1:22" x14ac:dyDescent="0.3">
      <c r="A159" t="s">
        <v>170</v>
      </c>
      <c r="B159" s="4">
        <v>45978</v>
      </c>
      <c r="C159" t="s">
        <v>569</v>
      </c>
      <c r="D159" t="str">
        <f t="shared" si="18"/>
        <v>Mia White</v>
      </c>
      <c r="E159" t="s">
        <v>605</v>
      </c>
      <c r="F159" t="str">
        <f t="shared" si="19"/>
        <v>Singapore</v>
      </c>
      <c r="G159" t="s">
        <v>633</v>
      </c>
      <c r="H159" t="s">
        <v>638</v>
      </c>
      <c r="I159">
        <v>1</v>
      </c>
      <c r="J159" s="1">
        <v>210</v>
      </c>
      <c r="K159" s="1">
        <v>125</v>
      </c>
      <c r="L159" s="2">
        <v>0.1</v>
      </c>
      <c r="M159" t="s">
        <v>647</v>
      </c>
      <c r="N159" t="str">
        <f t="shared" si="20"/>
        <v>Credit Card</v>
      </c>
      <c r="O159" t="s">
        <v>651</v>
      </c>
      <c r="P159" t="str">
        <f t="shared" si="21"/>
        <v>Shipped</v>
      </c>
      <c r="Q159" t="str">
        <f t="shared" si="22"/>
        <v>Valid</v>
      </c>
      <c r="R159" t="s">
        <v>662</v>
      </c>
      <c r="S159">
        <f t="shared" si="23"/>
        <v>189</v>
      </c>
      <c r="T159">
        <f t="shared" si="24"/>
        <v>125</v>
      </c>
      <c r="U159">
        <f t="shared" si="25"/>
        <v>64</v>
      </c>
      <c r="V159" s="8">
        <f t="shared" si="26"/>
        <v>0.33862433862433861</v>
      </c>
    </row>
    <row r="160" spans="1:22" x14ac:dyDescent="0.3">
      <c r="A160" t="s">
        <v>171</v>
      </c>
      <c r="B160" s="4">
        <v>45700</v>
      </c>
      <c r="C160" t="s">
        <v>586</v>
      </c>
      <c r="D160" t="str">
        <f t="shared" si="18"/>
        <v>Ella Martin</v>
      </c>
      <c r="E160" t="s">
        <v>625</v>
      </c>
      <c r="F160" t="str">
        <f t="shared" si="19"/>
        <v>United States</v>
      </c>
      <c r="G160" t="s">
        <v>629</v>
      </c>
      <c r="H160" t="s">
        <v>640</v>
      </c>
      <c r="I160">
        <v>2</v>
      </c>
      <c r="J160" s="1">
        <v>92</v>
      </c>
      <c r="K160" s="1">
        <v>53</v>
      </c>
      <c r="L160" s="2">
        <v>0</v>
      </c>
      <c r="M160" t="s">
        <v>646</v>
      </c>
      <c r="N160" t="str">
        <f t="shared" si="20"/>
        <v>Debit Card</v>
      </c>
      <c r="O160" t="s">
        <v>650</v>
      </c>
      <c r="P160" t="str">
        <f t="shared" si="21"/>
        <v>Cancelled</v>
      </c>
      <c r="Q160" t="str">
        <f t="shared" si="22"/>
        <v>Valid</v>
      </c>
      <c r="R160" t="s">
        <v>671</v>
      </c>
      <c r="S160">
        <f t="shared" si="23"/>
        <v>184</v>
      </c>
      <c r="T160">
        <f t="shared" si="24"/>
        <v>106</v>
      </c>
      <c r="U160">
        <f t="shared" si="25"/>
        <v>78</v>
      </c>
      <c r="V160" s="8">
        <f t="shared" si="26"/>
        <v>0.42391304347826086</v>
      </c>
    </row>
    <row r="161" spans="1:22" x14ac:dyDescent="0.3">
      <c r="A161" t="s">
        <v>172</v>
      </c>
      <c r="B161" s="4">
        <v>45904</v>
      </c>
      <c r="C161" t="s">
        <v>568</v>
      </c>
      <c r="D161" t="str">
        <f t="shared" si="18"/>
        <v>Daniel Harris</v>
      </c>
      <c r="E161" t="s">
        <v>603</v>
      </c>
      <c r="F161" t="str">
        <f t="shared" si="19"/>
        <v>Germany</v>
      </c>
      <c r="G161" t="s">
        <v>633</v>
      </c>
      <c r="H161" t="s">
        <v>638</v>
      </c>
      <c r="I161">
        <v>2</v>
      </c>
      <c r="J161" s="1">
        <v>210</v>
      </c>
      <c r="K161" s="1">
        <v>125</v>
      </c>
      <c r="L161" s="2">
        <v>0.1</v>
      </c>
      <c r="M161" t="s">
        <v>644</v>
      </c>
      <c r="N161" t="s">
        <v>644</v>
      </c>
      <c r="O161" t="s">
        <v>650</v>
      </c>
      <c r="P161" t="str">
        <f t="shared" si="21"/>
        <v>Cancelled</v>
      </c>
      <c r="Q161" t="str">
        <f t="shared" si="22"/>
        <v>Valid</v>
      </c>
      <c r="R161" t="s">
        <v>666</v>
      </c>
      <c r="S161">
        <f t="shared" si="23"/>
        <v>378</v>
      </c>
      <c r="T161">
        <f t="shared" si="24"/>
        <v>250</v>
      </c>
      <c r="U161">
        <f t="shared" si="25"/>
        <v>128</v>
      </c>
      <c r="V161" s="8">
        <f t="shared" si="26"/>
        <v>0.33862433862433861</v>
      </c>
    </row>
    <row r="162" spans="1:22" x14ac:dyDescent="0.3">
      <c r="A162" t="s">
        <v>173</v>
      </c>
      <c r="B162" s="4">
        <v>45895</v>
      </c>
      <c r="C162" t="s">
        <v>580</v>
      </c>
      <c r="D162" t="str">
        <f t="shared" si="18"/>
        <v>Benjamin Walker</v>
      </c>
      <c r="E162" t="s">
        <v>624</v>
      </c>
      <c r="F162" t="str">
        <f t="shared" si="19"/>
        <v>United Arab Emirates</v>
      </c>
      <c r="G162" t="s">
        <v>627</v>
      </c>
      <c r="H162" t="s">
        <v>639</v>
      </c>
      <c r="I162">
        <v>3</v>
      </c>
      <c r="J162" s="1">
        <v>38</v>
      </c>
      <c r="K162" s="1">
        <v>17</v>
      </c>
      <c r="L162" s="2">
        <v>0.1</v>
      </c>
      <c r="M162" t="s">
        <v>646</v>
      </c>
      <c r="N162" t="str">
        <f t="shared" si="20"/>
        <v>Debit Card</v>
      </c>
      <c r="O162" t="s">
        <v>649</v>
      </c>
      <c r="P162" t="str">
        <f t="shared" si="21"/>
        <v>Pending</v>
      </c>
      <c r="Q162" t="str">
        <f t="shared" si="22"/>
        <v>Valid</v>
      </c>
      <c r="R162" t="s">
        <v>672</v>
      </c>
      <c r="S162">
        <f t="shared" si="23"/>
        <v>102.60000000000001</v>
      </c>
      <c r="T162">
        <f t="shared" si="24"/>
        <v>51</v>
      </c>
      <c r="U162">
        <f t="shared" si="25"/>
        <v>51.600000000000009</v>
      </c>
      <c r="V162" s="8">
        <f t="shared" si="26"/>
        <v>0.50292397660818722</v>
      </c>
    </row>
    <row r="163" spans="1:22" x14ac:dyDescent="0.3">
      <c r="A163" t="s">
        <v>174</v>
      </c>
      <c r="B163" s="4">
        <v>45832</v>
      </c>
      <c r="C163" t="s">
        <v>566</v>
      </c>
      <c r="D163" t="str">
        <f t="shared" si="18"/>
        <v>Lily Hall</v>
      </c>
      <c r="E163" t="s">
        <v>611</v>
      </c>
      <c r="F163" t="str">
        <f t="shared" si="19"/>
        <v>United States</v>
      </c>
      <c r="G163" t="s">
        <v>635</v>
      </c>
      <c r="H163" t="s">
        <v>639</v>
      </c>
      <c r="I163">
        <v>3</v>
      </c>
      <c r="J163" s="1">
        <v>65</v>
      </c>
      <c r="K163" s="1">
        <v>31</v>
      </c>
      <c r="L163" s="2">
        <v>0.15</v>
      </c>
      <c r="M163" t="s">
        <v>643</v>
      </c>
      <c r="N163" t="str">
        <f t="shared" si="20"/>
        <v>Credit Card</v>
      </c>
      <c r="O163" t="s">
        <v>651</v>
      </c>
      <c r="P163" t="str">
        <f t="shared" si="21"/>
        <v>Shipped</v>
      </c>
      <c r="Q163" t="str">
        <f t="shared" si="22"/>
        <v>Valid</v>
      </c>
      <c r="R163" t="s">
        <v>659</v>
      </c>
      <c r="S163">
        <f t="shared" si="23"/>
        <v>165.75</v>
      </c>
      <c r="T163">
        <f t="shared" si="24"/>
        <v>93</v>
      </c>
      <c r="U163">
        <f t="shared" si="25"/>
        <v>72.75</v>
      </c>
      <c r="V163" s="8">
        <f t="shared" si="26"/>
        <v>0.43891402714932126</v>
      </c>
    </row>
    <row r="164" spans="1:22" x14ac:dyDescent="0.3">
      <c r="A164" t="s">
        <v>175</v>
      </c>
      <c r="B164" s="4">
        <v>45705</v>
      </c>
      <c r="C164" t="s">
        <v>580</v>
      </c>
      <c r="D164" t="str">
        <f t="shared" si="18"/>
        <v>Benjamin Walker</v>
      </c>
      <c r="E164" t="s">
        <v>616</v>
      </c>
      <c r="F164" t="str">
        <f t="shared" si="19"/>
        <v>United Kingdom</v>
      </c>
      <c r="G164" t="s">
        <v>628</v>
      </c>
      <c r="H164" t="s">
        <v>639</v>
      </c>
      <c r="I164">
        <v>4</v>
      </c>
      <c r="J164" s="1">
        <v>18</v>
      </c>
      <c r="K164" s="1">
        <v>7</v>
      </c>
      <c r="L164" s="2">
        <v>0.05</v>
      </c>
      <c r="M164" t="s">
        <v>646</v>
      </c>
      <c r="N164" t="str">
        <f t="shared" si="20"/>
        <v>Debit Card</v>
      </c>
      <c r="O164" t="s">
        <v>648</v>
      </c>
      <c r="P164" t="str">
        <f t="shared" si="21"/>
        <v>Completed</v>
      </c>
      <c r="Q164" t="str">
        <f t="shared" si="22"/>
        <v>Valid</v>
      </c>
      <c r="R164" t="s">
        <v>672</v>
      </c>
      <c r="S164">
        <f t="shared" si="23"/>
        <v>68.399999999999991</v>
      </c>
      <c r="T164">
        <f t="shared" si="24"/>
        <v>28</v>
      </c>
      <c r="U164">
        <f t="shared" si="25"/>
        <v>40.399999999999991</v>
      </c>
      <c r="V164" s="8">
        <f t="shared" si="26"/>
        <v>0.59064327485380108</v>
      </c>
    </row>
    <row r="165" spans="1:22" x14ac:dyDescent="0.3">
      <c r="A165" t="s">
        <v>176</v>
      </c>
      <c r="B165" s="4">
        <v>45849</v>
      </c>
      <c r="C165" t="s">
        <v>564</v>
      </c>
      <c r="D165" t="str">
        <f t="shared" si="18"/>
        <v>Ava Thomas</v>
      </c>
      <c r="E165" t="s">
        <v>620</v>
      </c>
      <c r="F165" t="str">
        <f t="shared" si="19"/>
        <v>India</v>
      </c>
      <c r="G165" t="s">
        <v>629</v>
      </c>
      <c r="H165" t="s">
        <v>640</v>
      </c>
      <c r="I165">
        <v>4</v>
      </c>
      <c r="J165" s="1">
        <v>92</v>
      </c>
      <c r="K165" s="1">
        <v>53</v>
      </c>
      <c r="L165" s="2">
        <v>0</v>
      </c>
      <c r="M165" t="s">
        <v>642</v>
      </c>
      <c r="N165" t="s">
        <v>644</v>
      </c>
      <c r="O165" t="s">
        <v>650</v>
      </c>
      <c r="P165" t="str">
        <f t="shared" si="21"/>
        <v>Cancelled</v>
      </c>
      <c r="Q165" t="str">
        <f t="shared" si="22"/>
        <v>Invalid</v>
      </c>
      <c r="R165" t="s">
        <v>679</v>
      </c>
      <c r="S165">
        <f t="shared" si="23"/>
        <v>368</v>
      </c>
      <c r="T165">
        <f t="shared" si="24"/>
        <v>212</v>
      </c>
      <c r="U165">
        <f t="shared" si="25"/>
        <v>156</v>
      </c>
      <c r="V165" s="8">
        <f t="shared" si="26"/>
        <v>0.42391304347826086</v>
      </c>
    </row>
    <row r="166" spans="1:22" x14ac:dyDescent="0.3">
      <c r="A166" t="s">
        <v>177</v>
      </c>
      <c r="B166" s="4">
        <v>45840</v>
      </c>
      <c r="C166" t="s">
        <v>572</v>
      </c>
      <c r="D166" t="str">
        <f t="shared" si="18"/>
        <v>Olivia Davis</v>
      </c>
      <c r="E166" t="s">
        <v>605</v>
      </c>
      <c r="F166" t="str">
        <f t="shared" si="19"/>
        <v>Singapore</v>
      </c>
      <c r="G166" t="s">
        <v>637</v>
      </c>
      <c r="H166" t="s">
        <v>641</v>
      </c>
      <c r="I166">
        <v>2</v>
      </c>
      <c r="J166" s="1">
        <v>175</v>
      </c>
      <c r="K166" s="1">
        <v>105</v>
      </c>
      <c r="L166" s="2">
        <v>0.15</v>
      </c>
      <c r="M166" t="s">
        <v>642</v>
      </c>
      <c r="N166" t="s">
        <v>644</v>
      </c>
      <c r="O166" t="s">
        <v>648</v>
      </c>
      <c r="P166" t="str">
        <f t="shared" si="21"/>
        <v>Completed</v>
      </c>
      <c r="Q166" t="str">
        <f t="shared" si="22"/>
        <v>Valid</v>
      </c>
      <c r="R166" t="s">
        <v>665</v>
      </c>
      <c r="S166">
        <f t="shared" si="23"/>
        <v>297.5</v>
      </c>
      <c r="T166">
        <f t="shared" si="24"/>
        <v>210</v>
      </c>
      <c r="U166">
        <f t="shared" si="25"/>
        <v>87.5</v>
      </c>
      <c r="V166" s="8">
        <f t="shared" si="26"/>
        <v>0.29411764705882354</v>
      </c>
    </row>
    <row r="167" spans="1:22" x14ac:dyDescent="0.3">
      <c r="A167" t="s">
        <v>178</v>
      </c>
      <c r="B167" s="4">
        <v>45851</v>
      </c>
      <c r="C167" t="s">
        <v>567</v>
      </c>
      <c r="D167" t="str">
        <f t="shared" si="18"/>
        <v>Sophia Taylor</v>
      </c>
      <c r="E167" t="s">
        <v>613</v>
      </c>
      <c r="F167" t="str">
        <f t="shared" si="19"/>
        <v>Singapore</v>
      </c>
      <c r="G167" t="s">
        <v>627</v>
      </c>
      <c r="H167" t="s">
        <v>639</v>
      </c>
      <c r="I167">
        <v>1</v>
      </c>
      <c r="J167" s="1">
        <v>38</v>
      </c>
      <c r="K167" s="1">
        <v>17</v>
      </c>
      <c r="L167" s="2">
        <v>0.05</v>
      </c>
      <c r="M167" t="s">
        <v>644</v>
      </c>
      <c r="N167" t="s">
        <v>644</v>
      </c>
      <c r="O167" t="s">
        <v>648</v>
      </c>
      <c r="P167" t="str">
        <f t="shared" si="21"/>
        <v>Completed</v>
      </c>
      <c r="Q167" t="str">
        <f t="shared" si="22"/>
        <v>Valid</v>
      </c>
      <c r="R167" t="s">
        <v>660</v>
      </c>
      <c r="S167">
        <f t="shared" si="23"/>
        <v>36.1</v>
      </c>
      <c r="T167">
        <f t="shared" si="24"/>
        <v>17</v>
      </c>
      <c r="U167">
        <f t="shared" si="25"/>
        <v>19.100000000000001</v>
      </c>
      <c r="V167" s="8">
        <f t="shared" si="26"/>
        <v>0.52908587257617734</v>
      </c>
    </row>
    <row r="168" spans="1:22" x14ac:dyDescent="0.3">
      <c r="A168" t="s">
        <v>179</v>
      </c>
      <c r="B168" s="4">
        <v>45783</v>
      </c>
      <c r="C168" t="s">
        <v>582</v>
      </c>
      <c r="D168" t="str">
        <f t="shared" si="18"/>
        <v>Alex Morgan</v>
      </c>
      <c r="E168" t="s">
        <v>607</v>
      </c>
      <c r="F168" t="str">
        <f t="shared" si="19"/>
        <v>Germany</v>
      </c>
      <c r="G168" t="s">
        <v>627</v>
      </c>
      <c r="H168" t="s">
        <v>639</v>
      </c>
      <c r="I168">
        <v>5</v>
      </c>
      <c r="J168" s="1">
        <v>38</v>
      </c>
      <c r="K168" s="1">
        <v>17</v>
      </c>
      <c r="L168" s="2">
        <v>0</v>
      </c>
      <c r="M168" t="s">
        <v>644</v>
      </c>
      <c r="N168" t="s">
        <v>644</v>
      </c>
      <c r="O168" t="s">
        <v>648</v>
      </c>
      <c r="P168" t="str">
        <f t="shared" si="21"/>
        <v>Completed</v>
      </c>
      <c r="Q168" t="str">
        <f t="shared" si="22"/>
        <v>Valid</v>
      </c>
      <c r="R168" t="s">
        <v>658</v>
      </c>
      <c r="S168">
        <f t="shared" si="23"/>
        <v>190</v>
      </c>
      <c r="T168">
        <f t="shared" si="24"/>
        <v>85</v>
      </c>
      <c r="U168">
        <f t="shared" si="25"/>
        <v>105</v>
      </c>
      <c r="V168" s="8">
        <f t="shared" si="26"/>
        <v>0.55263157894736847</v>
      </c>
    </row>
    <row r="169" spans="1:22" x14ac:dyDescent="0.3">
      <c r="A169" t="s">
        <v>180</v>
      </c>
      <c r="B169" s="4">
        <v>45773</v>
      </c>
      <c r="C169" t="s">
        <v>576</v>
      </c>
      <c r="D169" t="str">
        <f t="shared" si="18"/>
        <v>Chloe Lewis</v>
      </c>
      <c r="E169" t="s">
        <v>603</v>
      </c>
      <c r="F169" t="str">
        <f t="shared" si="19"/>
        <v>Germany</v>
      </c>
      <c r="G169" t="s">
        <v>635</v>
      </c>
      <c r="H169" t="s">
        <v>639</v>
      </c>
      <c r="I169">
        <v>2</v>
      </c>
      <c r="J169" s="1">
        <v>65</v>
      </c>
      <c r="K169" s="1">
        <v>31</v>
      </c>
      <c r="L169" s="2">
        <v>0</v>
      </c>
      <c r="M169" t="s">
        <v>646</v>
      </c>
      <c r="N169" t="str">
        <f t="shared" si="20"/>
        <v>Debit Card</v>
      </c>
      <c r="O169" t="s">
        <v>648</v>
      </c>
      <c r="P169" t="str">
        <f t="shared" si="21"/>
        <v>Completed</v>
      </c>
      <c r="Q169" t="str">
        <f t="shared" si="22"/>
        <v>Valid</v>
      </c>
      <c r="R169" t="s">
        <v>669</v>
      </c>
      <c r="S169">
        <f t="shared" si="23"/>
        <v>130</v>
      </c>
      <c r="T169">
        <f t="shared" si="24"/>
        <v>62</v>
      </c>
      <c r="U169">
        <f t="shared" si="25"/>
        <v>68</v>
      </c>
      <c r="V169" s="8">
        <f t="shared" si="26"/>
        <v>0.52307692307692311</v>
      </c>
    </row>
    <row r="170" spans="1:22" x14ac:dyDescent="0.3">
      <c r="A170" t="s">
        <v>181</v>
      </c>
      <c r="B170" s="4">
        <v>45678</v>
      </c>
      <c r="C170" t="s">
        <v>580</v>
      </c>
      <c r="D170" t="str">
        <f t="shared" si="18"/>
        <v>Benjamin Walker</v>
      </c>
      <c r="E170" t="s">
        <v>616</v>
      </c>
      <c r="F170" t="str">
        <f t="shared" si="19"/>
        <v>United Kingdom</v>
      </c>
      <c r="G170" t="s">
        <v>632</v>
      </c>
      <c r="H170" t="s">
        <v>639</v>
      </c>
      <c r="I170">
        <v>2</v>
      </c>
      <c r="J170" s="1">
        <v>42</v>
      </c>
      <c r="K170" s="1">
        <v>21</v>
      </c>
      <c r="L170" s="2">
        <v>0</v>
      </c>
      <c r="M170" t="s">
        <v>645</v>
      </c>
      <c r="N170" t="str">
        <f t="shared" si="20"/>
        <v>Bank Transfer</v>
      </c>
      <c r="O170" t="s">
        <v>651</v>
      </c>
      <c r="P170" t="str">
        <f t="shared" si="21"/>
        <v>Shipped</v>
      </c>
      <c r="Q170" t="str">
        <f t="shared" si="22"/>
        <v>Valid</v>
      </c>
      <c r="R170" t="s">
        <v>672</v>
      </c>
      <c r="S170">
        <f t="shared" si="23"/>
        <v>84</v>
      </c>
      <c r="T170">
        <f t="shared" si="24"/>
        <v>42</v>
      </c>
      <c r="U170">
        <f t="shared" si="25"/>
        <v>42</v>
      </c>
      <c r="V170" s="8">
        <f t="shared" si="26"/>
        <v>0.5</v>
      </c>
    </row>
    <row r="171" spans="1:22" x14ac:dyDescent="0.3">
      <c r="A171" t="s">
        <v>182</v>
      </c>
      <c r="B171" s="4">
        <v>45777</v>
      </c>
      <c r="C171" t="s">
        <v>573</v>
      </c>
      <c r="D171" t="str">
        <f t="shared" si="18"/>
        <v>Noah Brown</v>
      </c>
      <c r="E171" t="s">
        <v>609</v>
      </c>
      <c r="F171" t="str">
        <f t="shared" si="19"/>
        <v>Singapore</v>
      </c>
      <c r="G171" t="s">
        <v>636</v>
      </c>
      <c r="H171" t="s">
        <v>641</v>
      </c>
      <c r="I171">
        <v>4</v>
      </c>
      <c r="J171" s="1">
        <v>245</v>
      </c>
      <c r="K171" s="1">
        <v>150</v>
      </c>
      <c r="L171" s="2">
        <v>0.15</v>
      </c>
      <c r="M171" t="s">
        <v>645</v>
      </c>
      <c r="N171" t="str">
        <f t="shared" si="20"/>
        <v>Bank Transfer</v>
      </c>
      <c r="O171" t="s">
        <v>649</v>
      </c>
      <c r="P171" t="str">
        <f t="shared" si="21"/>
        <v>Pending</v>
      </c>
      <c r="Q171" t="str">
        <f t="shared" si="22"/>
        <v>Invalid</v>
      </c>
      <c r="R171" t="s">
        <v>680</v>
      </c>
      <c r="S171">
        <f t="shared" si="23"/>
        <v>833</v>
      </c>
      <c r="T171">
        <f t="shared" si="24"/>
        <v>600</v>
      </c>
      <c r="U171">
        <f t="shared" si="25"/>
        <v>233</v>
      </c>
      <c r="V171" s="8">
        <f t="shared" si="26"/>
        <v>0.27971188475390157</v>
      </c>
    </row>
    <row r="172" spans="1:22" x14ac:dyDescent="0.3">
      <c r="A172" t="s">
        <v>183</v>
      </c>
      <c r="B172" s="4">
        <v>45907</v>
      </c>
      <c r="C172" t="s">
        <v>592</v>
      </c>
      <c r="D172" t="str">
        <f t="shared" si="18"/>
        <v>Ava Thomas</v>
      </c>
      <c r="E172" t="s">
        <v>619</v>
      </c>
      <c r="F172" t="str">
        <f t="shared" si="19"/>
        <v>India</v>
      </c>
      <c r="G172" t="s">
        <v>636</v>
      </c>
      <c r="H172" t="s">
        <v>641</v>
      </c>
      <c r="I172">
        <v>2</v>
      </c>
      <c r="J172" s="1">
        <v>245</v>
      </c>
      <c r="K172" s="1">
        <v>150</v>
      </c>
      <c r="L172" s="2">
        <v>0</v>
      </c>
      <c r="M172" t="s">
        <v>642</v>
      </c>
      <c r="N172" t="s">
        <v>644</v>
      </c>
      <c r="O172" t="s">
        <v>648</v>
      </c>
      <c r="P172" t="str">
        <f t="shared" si="21"/>
        <v>Completed</v>
      </c>
      <c r="Q172" t="str">
        <f t="shared" si="22"/>
        <v>Valid</v>
      </c>
      <c r="R172" t="s">
        <v>657</v>
      </c>
      <c r="S172">
        <f t="shared" si="23"/>
        <v>490</v>
      </c>
      <c r="T172">
        <f t="shared" si="24"/>
        <v>300</v>
      </c>
      <c r="U172">
        <f t="shared" si="25"/>
        <v>190</v>
      </c>
      <c r="V172" s="8">
        <f t="shared" si="26"/>
        <v>0.38775510204081631</v>
      </c>
    </row>
    <row r="173" spans="1:22" x14ac:dyDescent="0.3">
      <c r="A173" t="s">
        <v>184</v>
      </c>
      <c r="B173" s="4">
        <v>45680</v>
      </c>
      <c r="C173" t="s">
        <v>563</v>
      </c>
      <c r="D173" t="str">
        <f t="shared" si="18"/>
        <v>Liam Miller</v>
      </c>
      <c r="E173" t="s">
        <v>610</v>
      </c>
      <c r="F173" t="str">
        <f t="shared" si="19"/>
        <v>United Arab Emirates</v>
      </c>
      <c r="G173" t="s">
        <v>637</v>
      </c>
      <c r="H173" t="s">
        <v>641</v>
      </c>
      <c r="I173">
        <v>4</v>
      </c>
      <c r="J173" s="1">
        <v>175</v>
      </c>
      <c r="K173" s="1">
        <v>105</v>
      </c>
      <c r="L173" s="2">
        <v>0.1</v>
      </c>
      <c r="M173" t="s">
        <v>643</v>
      </c>
      <c r="N173" t="str">
        <f t="shared" si="20"/>
        <v>Credit Card</v>
      </c>
      <c r="O173" t="s">
        <v>650</v>
      </c>
      <c r="P173" t="str">
        <f t="shared" si="21"/>
        <v>Cancelled</v>
      </c>
      <c r="Q173" t="str">
        <f t="shared" si="22"/>
        <v>Valid</v>
      </c>
      <c r="R173" t="s">
        <v>656</v>
      </c>
      <c r="S173">
        <f t="shared" si="23"/>
        <v>630</v>
      </c>
      <c r="T173">
        <f t="shared" si="24"/>
        <v>420</v>
      </c>
      <c r="U173">
        <f t="shared" si="25"/>
        <v>210</v>
      </c>
      <c r="V173" s="8">
        <f t="shared" si="26"/>
        <v>0.33333333333333331</v>
      </c>
    </row>
    <row r="174" spans="1:22" x14ac:dyDescent="0.3">
      <c r="A174" t="s">
        <v>185</v>
      </c>
      <c r="B174" s="4">
        <v>45830</v>
      </c>
      <c r="C174" t="s">
        <v>570</v>
      </c>
      <c r="D174" t="str">
        <f t="shared" si="18"/>
        <v>Grace Moore</v>
      </c>
      <c r="E174" t="s">
        <v>621</v>
      </c>
      <c r="F174" t="str">
        <f t="shared" si="19"/>
        <v>Canada</v>
      </c>
      <c r="G174" t="s">
        <v>631</v>
      </c>
      <c r="H174" t="s">
        <v>641</v>
      </c>
      <c r="I174">
        <v>3</v>
      </c>
      <c r="J174" s="1">
        <v>85</v>
      </c>
      <c r="K174" s="1">
        <v>44</v>
      </c>
      <c r="L174" s="2">
        <v>0.05</v>
      </c>
      <c r="M174" t="s">
        <v>643</v>
      </c>
      <c r="N174" t="str">
        <f t="shared" si="20"/>
        <v>Credit Card</v>
      </c>
      <c r="O174" t="s">
        <v>648</v>
      </c>
      <c r="P174" t="str">
        <f t="shared" si="21"/>
        <v>Completed</v>
      </c>
      <c r="Q174" t="str">
        <f t="shared" si="22"/>
        <v>Valid</v>
      </c>
      <c r="R174" t="s">
        <v>663</v>
      </c>
      <c r="S174">
        <f t="shared" si="23"/>
        <v>242.25</v>
      </c>
      <c r="T174">
        <f t="shared" si="24"/>
        <v>132</v>
      </c>
      <c r="U174">
        <f t="shared" si="25"/>
        <v>110.25</v>
      </c>
      <c r="V174" s="8">
        <f t="shared" si="26"/>
        <v>0.45510835913312692</v>
      </c>
    </row>
    <row r="175" spans="1:22" x14ac:dyDescent="0.3">
      <c r="A175" t="s">
        <v>186</v>
      </c>
      <c r="B175" s="4">
        <v>45744</v>
      </c>
      <c r="C175" t="s">
        <v>575</v>
      </c>
      <c r="D175" t="str">
        <f t="shared" si="18"/>
        <v>Lucas Jackson</v>
      </c>
      <c r="E175" t="s">
        <v>621</v>
      </c>
      <c r="F175" t="str">
        <f t="shared" si="19"/>
        <v>Canada</v>
      </c>
      <c r="G175" t="s">
        <v>631</v>
      </c>
      <c r="H175" t="s">
        <v>641</v>
      </c>
      <c r="I175">
        <v>5</v>
      </c>
      <c r="J175" s="1">
        <v>85</v>
      </c>
      <c r="K175" s="1">
        <v>44</v>
      </c>
      <c r="L175" s="2">
        <v>0.05</v>
      </c>
      <c r="M175" t="s">
        <v>646</v>
      </c>
      <c r="N175" t="str">
        <f t="shared" si="20"/>
        <v>Debit Card</v>
      </c>
      <c r="O175" t="s">
        <v>648</v>
      </c>
      <c r="P175" t="str">
        <f t="shared" si="21"/>
        <v>Completed</v>
      </c>
      <c r="Q175" t="str">
        <f t="shared" si="22"/>
        <v>Valid</v>
      </c>
      <c r="R175" t="s">
        <v>668</v>
      </c>
      <c r="S175">
        <f t="shared" si="23"/>
        <v>403.75</v>
      </c>
      <c r="T175">
        <f t="shared" si="24"/>
        <v>220</v>
      </c>
      <c r="U175">
        <f t="shared" si="25"/>
        <v>183.75</v>
      </c>
      <c r="V175" s="8">
        <f t="shared" si="26"/>
        <v>0.45510835913312692</v>
      </c>
    </row>
    <row r="176" spans="1:22" x14ac:dyDescent="0.3">
      <c r="A176" t="s">
        <v>187</v>
      </c>
      <c r="B176" s="4">
        <v>46022</v>
      </c>
      <c r="C176" t="s">
        <v>584</v>
      </c>
      <c r="D176" t="str">
        <f t="shared" si="18"/>
        <v>James Thompson</v>
      </c>
      <c r="E176" t="s">
        <v>603</v>
      </c>
      <c r="F176" t="str">
        <f t="shared" si="19"/>
        <v>Germany</v>
      </c>
      <c r="G176" t="s">
        <v>632</v>
      </c>
      <c r="H176" t="s">
        <v>639</v>
      </c>
      <c r="I176">
        <v>3</v>
      </c>
      <c r="J176" s="1">
        <v>42</v>
      </c>
      <c r="K176" s="1">
        <v>21</v>
      </c>
      <c r="L176" s="2">
        <v>0</v>
      </c>
      <c r="M176" t="s">
        <v>643</v>
      </c>
      <c r="N176" t="str">
        <f t="shared" si="20"/>
        <v>Credit Card</v>
      </c>
      <c r="O176" t="s">
        <v>648</v>
      </c>
      <c r="P176" t="str">
        <f t="shared" si="21"/>
        <v>Completed</v>
      </c>
      <c r="Q176" t="str">
        <f t="shared" si="22"/>
        <v>Valid</v>
      </c>
      <c r="R176" t="s">
        <v>675</v>
      </c>
      <c r="S176">
        <f t="shared" si="23"/>
        <v>126</v>
      </c>
      <c r="T176">
        <f t="shared" si="24"/>
        <v>63</v>
      </c>
      <c r="U176">
        <f t="shared" si="25"/>
        <v>63</v>
      </c>
      <c r="V176" s="8">
        <f t="shared" si="26"/>
        <v>0.5</v>
      </c>
    </row>
    <row r="177" spans="1:22" x14ac:dyDescent="0.3">
      <c r="A177" t="s">
        <v>188</v>
      </c>
      <c r="B177" s="4">
        <v>45743</v>
      </c>
      <c r="C177" t="s">
        <v>576</v>
      </c>
      <c r="D177" t="str">
        <f t="shared" si="18"/>
        <v>Chloe Lewis</v>
      </c>
      <c r="E177" t="s">
        <v>615</v>
      </c>
      <c r="F177" t="str">
        <f t="shared" si="19"/>
        <v>Canada</v>
      </c>
      <c r="G177" t="s">
        <v>634</v>
      </c>
      <c r="H177" t="s">
        <v>641</v>
      </c>
      <c r="I177">
        <v>3</v>
      </c>
      <c r="J177" s="1">
        <v>59</v>
      </c>
      <c r="K177" s="1">
        <v>30</v>
      </c>
      <c r="L177" s="2">
        <v>0</v>
      </c>
      <c r="M177" t="s">
        <v>642</v>
      </c>
      <c r="N177" t="s">
        <v>644</v>
      </c>
      <c r="O177" t="s">
        <v>653</v>
      </c>
      <c r="P177" t="str">
        <f t="shared" si="21"/>
        <v>Pending</v>
      </c>
      <c r="Q177" t="str">
        <f t="shared" si="22"/>
        <v>Valid</v>
      </c>
      <c r="R177" t="s">
        <v>669</v>
      </c>
      <c r="S177">
        <f t="shared" si="23"/>
        <v>177</v>
      </c>
      <c r="T177">
        <f t="shared" si="24"/>
        <v>90</v>
      </c>
      <c r="U177">
        <f t="shared" si="25"/>
        <v>87</v>
      </c>
      <c r="V177" s="8">
        <f t="shared" si="26"/>
        <v>0.49152542372881358</v>
      </c>
    </row>
    <row r="178" spans="1:22" x14ac:dyDescent="0.3">
      <c r="A178" t="s">
        <v>189</v>
      </c>
      <c r="B178" s="4">
        <v>45797</v>
      </c>
      <c r="C178" t="s">
        <v>582</v>
      </c>
      <c r="D178" t="str">
        <f t="shared" si="18"/>
        <v>Alex Morgan</v>
      </c>
      <c r="E178" t="s">
        <v>601</v>
      </c>
      <c r="F178" t="str">
        <f t="shared" si="19"/>
        <v>United Kingdom</v>
      </c>
      <c r="G178" t="s">
        <v>631</v>
      </c>
      <c r="H178" t="s">
        <v>641</v>
      </c>
      <c r="I178">
        <v>4</v>
      </c>
      <c r="J178" s="1">
        <v>85</v>
      </c>
      <c r="K178" s="1">
        <v>44</v>
      </c>
      <c r="L178" s="2">
        <v>0.05</v>
      </c>
      <c r="M178" t="s">
        <v>644</v>
      </c>
      <c r="N178" t="s">
        <v>644</v>
      </c>
      <c r="O178" t="s">
        <v>648</v>
      </c>
      <c r="P178" t="str">
        <f t="shared" si="21"/>
        <v>Completed</v>
      </c>
      <c r="Q178" t="str">
        <f t="shared" si="22"/>
        <v>Valid</v>
      </c>
      <c r="R178" t="s">
        <v>658</v>
      </c>
      <c r="S178">
        <f t="shared" si="23"/>
        <v>323</v>
      </c>
      <c r="T178">
        <f t="shared" si="24"/>
        <v>176</v>
      </c>
      <c r="U178">
        <f t="shared" si="25"/>
        <v>147</v>
      </c>
      <c r="V178" s="8">
        <f t="shared" si="26"/>
        <v>0.45510835913312692</v>
      </c>
    </row>
    <row r="179" spans="1:22" x14ac:dyDescent="0.3">
      <c r="A179" t="s">
        <v>190</v>
      </c>
      <c r="B179" s="4">
        <v>45918</v>
      </c>
      <c r="C179" t="s">
        <v>573</v>
      </c>
      <c r="D179" t="str">
        <f t="shared" si="18"/>
        <v>Noah Brown</v>
      </c>
      <c r="E179" t="s">
        <v>621</v>
      </c>
      <c r="F179" t="str">
        <f t="shared" si="19"/>
        <v>Canada</v>
      </c>
      <c r="G179" t="s">
        <v>633</v>
      </c>
      <c r="H179" t="s">
        <v>638</v>
      </c>
      <c r="I179">
        <v>1</v>
      </c>
      <c r="J179" s="1">
        <v>210</v>
      </c>
      <c r="K179" s="1">
        <v>125</v>
      </c>
      <c r="L179" s="2">
        <v>0.1</v>
      </c>
      <c r="M179" t="s">
        <v>644</v>
      </c>
      <c r="N179" t="s">
        <v>644</v>
      </c>
      <c r="O179" t="s">
        <v>648</v>
      </c>
      <c r="P179" t="str">
        <f t="shared" si="21"/>
        <v>Completed</v>
      </c>
      <c r="Q179" t="str">
        <f t="shared" si="22"/>
        <v>Valid</v>
      </c>
      <c r="R179" t="s">
        <v>667</v>
      </c>
      <c r="S179">
        <f t="shared" si="23"/>
        <v>189</v>
      </c>
      <c r="T179">
        <f t="shared" si="24"/>
        <v>125</v>
      </c>
      <c r="U179">
        <f t="shared" si="25"/>
        <v>64</v>
      </c>
      <c r="V179" s="8">
        <f t="shared" si="26"/>
        <v>0.33862433862433861</v>
      </c>
    </row>
    <row r="180" spans="1:22" x14ac:dyDescent="0.3">
      <c r="A180" t="s">
        <v>191</v>
      </c>
      <c r="B180" s="4">
        <v>45720</v>
      </c>
      <c r="C180" t="s">
        <v>584</v>
      </c>
      <c r="D180" t="str">
        <f t="shared" si="18"/>
        <v>James Thompson</v>
      </c>
      <c r="E180" t="s">
        <v>615</v>
      </c>
      <c r="F180" t="str">
        <f t="shared" si="19"/>
        <v>Canada</v>
      </c>
      <c r="G180" t="s">
        <v>632</v>
      </c>
      <c r="H180" t="s">
        <v>639</v>
      </c>
      <c r="I180">
        <v>2</v>
      </c>
      <c r="J180" s="1">
        <v>42</v>
      </c>
      <c r="K180" s="1">
        <v>21</v>
      </c>
      <c r="L180" s="2">
        <v>0.1</v>
      </c>
      <c r="M180" t="s">
        <v>645</v>
      </c>
      <c r="N180" t="str">
        <f t="shared" si="20"/>
        <v>Bank Transfer</v>
      </c>
      <c r="O180" t="s">
        <v>648</v>
      </c>
      <c r="P180" t="str">
        <f t="shared" si="21"/>
        <v>Completed</v>
      </c>
      <c r="Q180" t="str">
        <f t="shared" si="22"/>
        <v>Valid</v>
      </c>
      <c r="R180" t="s">
        <v>675</v>
      </c>
      <c r="S180">
        <f t="shared" si="23"/>
        <v>75.600000000000009</v>
      </c>
      <c r="T180">
        <f t="shared" si="24"/>
        <v>42</v>
      </c>
      <c r="U180">
        <f t="shared" si="25"/>
        <v>33.600000000000009</v>
      </c>
      <c r="V180" s="8">
        <f t="shared" si="26"/>
        <v>0.44444444444444453</v>
      </c>
    </row>
    <row r="181" spans="1:22" x14ac:dyDescent="0.3">
      <c r="A181" t="s">
        <v>192</v>
      </c>
      <c r="B181" s="4">
        <v>45939</v>
      </c>
      <c r="C181" t="s">
        <v>575</v>
      </c>
      <c r="D181" t="str">
        <f t="shared" si="18"/>
        <v>Lucas Jackson</v>
      </c>
      <c r="E181" t="s">
        <v>622</v>
      </c>
      <c r="F181" t="str">
        <f t="shared" si="19"/>
        <v>United Arab Emirates</v>
      </c>
      <c r="G181" t="s">
        <v>627</v>
      </c>
      <c r="H181" t="s">
        <v>639</v>
      </c>
      <c r="I181">
        <v>4</v>
      </c>
      <c r="J181" s="1">
        <v>38</v>
      </c>
      <c r="K181" s="1">
        <v>17</v>
      </c>
      <c r="L181" s="2">
        <v>0.05</v>
      </c>
      <c r="M181" t="s">
        <v>644</v>
      </c>
      <c r="N181" t="s">
        <v>644</v>
      </c>
      <c r="O181" t="s">
        <v>648</v>
      </c>
      <c r="P181" t="str">
        <f t="shared" si="21"/>
        <v>Completed</v>
      </c>
      <c r="Q181" t="str">
        <f t="shared" si="22"/>
        <v>Invalid</v>
      </c>
      <c r="R181" t="s">
        <v>681</v>
      </c>
      <c r="S181">
        <f t="shared" si="23"/>
        <v>144.4</v>
      </c>
      <c r="T181">
        <f t="shared" si="24"/>
        <v>68</v>
      </c>
      <c r="U181">
        <f t="shared" si="25"/>
        <v>76.400000000000006</v>
      </c>
      <c r="V181" s="8">
        <f t="shared" si="26"/>
        <v>0.52908587257617734</v>
      </c>
    </row>
    <row r="182" spans="1:22" x14ac:dyDescent="0.3">
      <c r="A182" t="s">
        <v>193</v>
      </c>
      <c r="B182" s="4">
        <v>45943</v>
      </c>
      <c r="C182" t="s">
        <v>578</v>
      </c>
      <c r="D182" t="str">
        <f t="shared" si="18"/>
        <v>Ella Martin</v>
      </c>
      <c r="E182" t="s">
        <v>610</v>
      </c>
      <c r="F182" t="str">
        <f t="shared" si="19"/>
        <v>United Arab Emirates</v>
      </c>
      <c r="G182" t="s">
        <v>636</v>
      </c>
      <c r="H182" t="s">
        <v>641</v>
      </c>
      <c r="I182">
        <v>5</v>
      </c>
      <c r="J182" s="1">
        <v>245</v>
      </c>
      <c r="K182" s="1">
        <v>150</v>
      </c>
      <c r="L182" s="2">
        <v>0.1</v>
      </c>
      <c r="M182" t="s">
        <v>646</v>
      </c>
      <c r="N182" t="str">
        <f t="shared" si="20"/>
        <v>Debit Card</v>
      </c>
      <c r="O182" t="s">
        <v>650</v>
      </c>
      <c r="P182" t="str">
        <f t="shared" si="21"/>
        <v>Cancelled</v>
      </c>
      <c r="Q182" t="str">
        <f t="shared" si="22"/>
        <v>Valid</v>
      </c>
      <c r="R182" t="s">
        <v>671</v>
      </c>
      <c r="S182">
        <f t="shared" si="23"/>
        <v>1102.5</v>
      </c>
      <c r="T182">
        <f t="shared" si="24"/>
        <v>750</v>
      </c>
      <c r="U182">
        <f t="shared" si="25"/>
        <v>352.5</v>
      </c>
      <c r="V182" s="8">
        <f t="shared" si="26"/>
        <v>0.31972789115646261</v>
      </c>
    </row>
    <row r="183" spans="1:22" x14ac:dyDescent="0.3">
      <c r="A183" t="s">
        <v>194</v>
      </c>
      <c r="B183" s="4">
        <v>45751</v>
      </c>
      <c r="C183" t="s">
        <v>572</v>
      </c>
      <c r="D183" t="str">
        <f t="shared" si="18"/>
        <v>Olivia Davis</v>
      </c>
      <c r="E183" t="s">
        <v>611</v>
      </c>
      <c r="F183" t="str">
        <f t="shared" si="19"/>
        <v>United States</v>
      </c>
      <c r="G183" t="s">
        <v>634</v>
      </c>
      <c r="H183" t="s">
        <v>641</v>
      </c>
      <c r="I183">
        <v>4</v>
      </c>
      <c r="J183" s="1">
        <v>59</v>
      </c>
      <c r="K183" s="1">
        <v>30</v>
      </c>
      <c r="L183" s="2">
        <v>0</v>
      </c>
      <c r="M183" t="s">
        <v>643</v>
      </c>
      <c r="N183" t="str">
        <f t="shared" si="20"/>
        <v>Credit Card</v>
      </c>
      <c r="O183" t="s">
        <v>648</v>
      </c>
      <c r="P183" t="str">
        <f t="shared" si="21"/>
        <v>Completed</v>
      </c>
      <c r="Q183" t="str">
        <f t="shared" si="22"/>
        <v>Valid</v>
      </c>
      <c r="R183" t="s">
        <v>665</v>
      </c>
      <c r="S183">
        <f t="shared" si="23"/>
        <v>236</v>
      </c>
      <c r="T183">
        <f t="shared" si="24"/>
        <v>120</v>
      </c>
      <c r="U183">
        <f t="shared" si="25"/>
        <v>116</v>
      </c>
      <c r="V183" s="8">
        <f t="shared" si="26"/>
        <v>0.49152542372881358</v>
      </c>
    </row>
    <row r="184" spans="1:22" x14ac:dyDescent="0.3">
      <c r="A184" t="s">
        <v>195</v>
      </c>
      <c r="B184" s="4">
        <v>45956</v>
      </c>
      <c r="C184" t="s">
        <v>568</v>
      </c>
      <c r="D184" t="str">
        <f t="shared" si="18"/>
        <v>Daniel Harris</v>
      </c>
      <c r="E184" t="s">
        <v>622</v>
      </c>
      <c r="F184" t="str">
        <f t="shared" si="19"/>
        <v>United Arab Emirates</v>
      </c>
      <c r="G184" t="s">
        <v>628</v>
      </c>
      <c r="H184" t="s">
        <v>639</v>
      </c>
      <c r="I184">
        <v>2</v>
      </c>
      <c r="J184" s="1">
        <v>18</v>
      </c>
      <c r="K184" s="1">
        <v>7</v>
      </c>
      <c r="L184" s="2">
        <v>0.15</v>
      </c>
      <c r="M184" t="s">
        <v>646</v>
      </c>
      <c r="N184" t="str">
        <f t="shared" si="20"/>
        <v>Debit Card</v>
      </c>
      <c r="O184" t="s">
        <v>649</v>
      </c>
      <c r="P184" t="str">
        <f t="shared" si="21"/>
        <v>Pending</v>
      </c>
      <c r="Q184" t="str">
        <f t="shared" si="22"/>
        <v>Invalid</v>
      </c>
      <c r="R184" t="s">
        <v>661</v>
      </c>
      <c r="S184">
        <f t="shared" si="23"/>
        <v>30.599999999999998</v>
      </c>
      <c r="T184">
        <f t="shared" si="24"/>
        <v>14</v>
      </c>
      <c r="U184">
        <f t="shared" si="25"/>
        <v>16.599999999999998</v>
      </c>
      <c r="V184" s="8">
        <f t="shared" si="26"/>
        <v>0.54248366013071891</v>
      </c>
    </row>
    <row r="185" spans="1:22" x14ac:dyDescent="0.3">
      <c r="A185" t="s">
        <v>196</v>
      </c>
      <c r="B185" s="4">
        <v>45966</v>
      </c>
      <c r="C185" t="s">
        <v>564</v>
      </c>
      <c r="D185" t="str">
        <f t="shared" si="18"/>
        <v>Ava Thomas</v>
      </c>
      <c r="E185" t="s">
        <v>599</v>
      </c>
      <c r="F185" t="str">
        <f t="shared" si="19"/>
        <v>United Arab Emirates</v>
      </c>
      <c r="G185" t="s">
        <v>627</v>
      </c>
      <c r="H185" t="s">
        <v>639</v>
      </c>
      <c r="I185">
        <v>1</v>
      </c>
      <c r="J185" s="1">
        <v>38</v>
      </c>
      <c r="K185" s="1">
        <v>17</v>
      </c>
      <c r="L185" s="2">
        <v>0</v>
      </c>
      <c r="M185" t="s">
        <v>644</v>
      </c>
      <c r="N185" t="s">
        <v>644</v>
      </c>
      <c r="O185" t="s">
        <v>648</v>
      </c>
      <c r="P185" t="str">
        <f t="shared" si="21"/>
        <v>Completed</v>
      </c>
      <c r="Q185" t="str">
        <f t="shared" si="22"/>
        <v>Valid</v>
      </c>
      <c r="R185" t="s">
        <v>657</v>
      </c>
      <c r="S185">
        <f t="shared" si="23"/>
        <v>38</v>
      </c>
      <c r="T185">
        <f t="shared" si="24"/>
        <v>17</v>
      </c>
      <c r="U185">
        <f t="shared" si="25"/>
        <v>21</v>
      </c>
      <c r="V185" s="8">
        <f t="shared" si="26"/>
        <v>0.55263157894736847</v>
      </c>
    </row>
    <row r="186" spans="1:22" x14ac:dyDescent="0.3">
      <c r="A186" t="s">
        <v>197</v>
      </c>
      <c r="B186" s="4">
        <v>45717</v>
      </c>
      <c r="C186" t="s">
        <v>582</v>
      </c>
      <c r="D186" t="str">
        <f t="shared" si="18"/>
        <v>Alex Morgan</v>
      </c>
      <c r="E186" t="s">
        <v>601</v>
      </c>
      <c r="F186" t="str">
        <f t="shared" si="19"/>
        <v>United Kingdom</v>
      </c>
      <c r="G186" t="s">
        <v>629</v>
      </c>
      <c r="H186" t="s">
        <v>640</v>
      </c>
      <c r="I186">
        <v>4</v>
      </c>
      <c r="J186" s="1">
        <v>92</v>
      </c>
      <c r="K186" s="1">
        <v>53</v>
      </c>
      <c r="L186" s="2">
        <v>0</v>
      </c>
      <c r="M186" t="s">
        <v>645</v>
      </c>
      <c r="N186" t="str">
        <f t="shared" si="20"/>
        <v>Bank Transfer</v>
      </c>
      <c r="O186" t="s">
        <v>650</v>
      </c>
      <c r="P186" t="str">
        <f t="shared" si="21"/>
        <v>Cancelled</v>
      </c>
      <c r="Q186" t="str">
        <f t="shared" si="22"/>
        <v>Valid</v>
      </c>
      <c r="R186" t="s">
        <v>658</v>
      </c>
      <c r="S186">
        <f t="shared" si="23"/>
        <v>368</v>
      </c>
      <c r="T186">
        <f t="shared" si="24"/>
        <v>212</v>
      </c>
      <c r="U186">
        <f t="shared" si="25"/>
        <v>156</v>
      </c>
      <c r="V186" s="8">
        <f t="shared" si="26"/>
        <v>0.42391304347826086</v>
      </c>
    </row>
    <row r="187" spans="1:22" x14ac:dyDescent="0.3">
      <c r="A187" t="s">
        <v>198</v>
      </c>
      <c r="B187" s="4">
        <v>45905</v>
      </c>
      <c r="C187" t="s">
        <v>585</v>
      </c>
      <c r="D187" t="str">
        <f t="shared" si="18"/>
        <v>Benjamin Walker</v>
      </c>
      <c r="E187" t="s">
        <v>617</v>
      </c>
      <c r="F187" t="str">
        <f t="shared" si="19"/>
        <v>Germany</v>
      </c>
      <c r="G187" t="s">
        <v>633</v>
      </c>
      <c r="H187" t="s">
        <v>638</v>
      </c>
      <c r="I187">
        <v>1</v>
      </c>
      <c r="J187" s="1">
        <v>210</v>
      </c>
      <c r="K187" s="1">
        <v>125</v>
      </c>
      <c r="L187" s="2">
        <v>0.05</v>
      </c>
      <c r="M187" t="s">
        <v>645</v>
      </c>
      <c r="N187" t="str">
        <f t="shared" si="20"/>
        <v>Bank Transfer</v>
      </c>
      <c r="O187" t="s">
        <v>649</v>
      </c>
      <c r="P187" t="str">
        <f t="shared" si="21"/>
        <v>Pending</v>
      </c>
      <c r="Q187" t="str">
        <f t="shared" si="22"/>
        <v>Valid</v>
      </c>
      <c r="R187" t="s">
        <v>672</v>
      </c>
      <c r="S187">
        <f t="shared" si="23"/>
        <v>199.5</v>
      </c>
      <c r="T187">
        <f t="shared" si="24"/>
        <v>125</v>
      </c>
      <c r="U187">
        <f t="shared" si="25"/>
        <v>74.5</v>
      </c>
      <c r="V187" s="8">
        <f t="shared" si="26"/>
        <v>0.37343358395989973</v>
      </c>
    </row>
    <row r="188" spans="1:22" x14ac:dyDescent="0.3">
      <c r="A188" t="s">
        <v>199</v>
      </c>
      <c r="B188" s="4">
        <v>45845</v>
      </c>
      <c r="C188" t="s">
        <v>593</v>
      </c>
      <c r="D188" t="str">
        <f t="shared" si="18"/>
        <v>Noah Brown</v>
      </c>
      <c r="E188" t="s">
        <v>620</v>
      </c>
      <c r="F188" t="str">
        <f t="shared" si="19"/>
        <v>India</v>
      </c>
      <c r="G188" t="s">
        <v>627</v>
      </c>
      <c r="H188" t="s">
        <v>639</v>
      </c>
      <c r="I188">
        <v>4</v>
      </c>
      <c r="J188" s="1">
        <v>38</v>
      </c>
      <c r="K188" s="1">
        <v>17</v>
      </c>
      <c r="L188" s="2">
        <v>0.05</v>
      </c>
      <c r="M188" t="s">
        <v>642</v>
      </c>
      <c r="N188" t="s">
        <v>644</v>
      </c>
      <c r="O188" t="s">
        <v>648</v>
      </c>
      <c r="P188" t="str">
        <f t="shared" si="21"/>
        <v>Completed</v>
      </c>
      <c r="Q188" t="str">
        <f t="shared" si="22"/>
        <v>Valid</v>
      </c>
      <c r="R188" t="s">
        <v>667</v>
      </c>
      <c r="S188">
        <f t="shared" si="23"/>
        <v>144.4</v>
      </c>
      <c r="T188">
        <f t="shared" si="24"/>
        <v>68</v>
      </c>
      <c r="U188">
        <f t="shared" si="25"/>
        <v>76.400000000000006</v>
      </c>
      <c r="V188" s="8">
        <f t="shared" si="26"/>
        <v>0.52908587257617734</v>
      </c>
    </row>
    <row r="189" spans="1:22" x14ac:dyDescent="0.3">
      <c r="A189" t="s">
        <v>200</v>
      </c>
      <c r="B189" s="4">
        <v>45733</v>
      </c>
      <c r="C189" t="s">
        <v>573</v>
      </c>
      <c r="D189" t="str">
        <f t="shared" si="18"/>
        <v>Noah Brown</v>
      </c>
      <c r="E189" t="s">
        <v>621</v>
      </c>
      <c r="F189" t="str">
        <f t="shared" si="19"/>
        <v>Canada</v>
      </c>
      <c r="G189" t="s">
        <v>637</v>
      </c>
      <c r="H189" t="s">
        <v>641</v>
      </c>
      <c r="I189">
        <v>5</v>
      </c>
      <c r="J189" s="1">
        <v>175</v>
      </c>
      <c r="K189" s="1">
        <v>105</v>
      </c>
      <c r="L189" s="2">
        <v>0.2</v>
      </c>
      <c r="M189" t="s">
        <v>647</v>
      </c>
      <c r="N189" t="str">
        <f t="shared" si="20"/>
        <v>Credit Card</v>
      </c>
      <c r="O189" t="s">
        <v>649</v>
      </c>
      <c r="P189" t="str">
        <f t="shared" si="21"/>
        <v>Pending</v>
      </c>
      <c r="Q189" t="str">
        <f t="shared" si="22"/>
        <v>Valid</v>
      </c>
      <c r="R189" t="s">
        <v>667</v>
      </c>
      <c r="S189">
        <f t="shared" si="23"/>
        <v>700</v>
      </c>
      <c r="T189">
        <f t="shared" si="24"/>
        <v>525</v>
      </c>
      <c r="U189">
        <f t="shared" si="25"/>
        <v>175</v>
      </c>
      <c r="V189" s="8">
        <f t="shared" si="26"/>
        <v>0.25</v>
      </c>
    </row>
    <row r="190" spans="1:22" x14ac:dyDescent="0.3">
      <c r="A190" t="s">
        <v>201</v>
      </c>
      <c r="B190" s="4">
        <v>45706</v>
      </c>
      <c r="C190" t="s">
        <v>580</v>
      </c>
      <c r="D190" t="str">
        <f t="shared" si="18"/>
        <v>Benjamin Walker</v>
      </c>
      <c r="E190" t="s">
        <v>619</v>
      </c>
      <c r="F190" t="str">
        <f t="shared" si="19"/>
        <v>India</v>
      </c>
      <c r="G190" t="s">
        <v>632</v>
      </c>
      <c r="H190" t="s">
        <v>639</v>
      </c>
      <c r="I190">
        <v>3</v>
      </c>
      <c r="J190" s="1">
        <v>42</v>
      </c>
      <c r="K190" s="1">
        <v>21</v>
      </c>
      <c r="L190" s="2">
        <v>0.05</v>
      </c>
      <c r="M190" t="s">
        <v>647</v>
      </c>
      <c r="N190" t="str">
        <f t="shared" si="20"/>
        <v>Credit Card</v>
      </c>
      <c r="O190" t="s">
        <v>649</v>
      </c>
      <c r="P190" t="str">
        <f t="shared" si="21"/>
        <v>Pending</v>
      </c>
      <c r="Q190" t="str">
        <f t="shared" si="22"/>
        <v>Valid</v>
      </c>
      <c r="R190" t="s">
        <v>672</v>
      </c>
      <c r="S190">
        <f t="shared" si="23"/>
        <v>119.69999999999999</v>
      </c>
      <c r="T190">
        <f t="shared" si="24"/>
        <v>63</v>
      </c>
      <c r="U190">
        <f t="shared" si="25"/>
        <v>56.699999999999989</v>
      </c>
      <c r="V190" s="8">
        <f t="shared" si="26"/>
        <v>0.47368421052631576</v>
      </c>
    </row>
    <row r="191" spans="1:22" x14ac:dyDescent="0.3">
      <c r="A191" t="s">
        <v>202</v>
      </c>
      <c r="B191" s="4">
        <v>45972</v>
      </c>
      <c r="C191" t="s">
        <v>576</v>
      </c>
      <c r="D191" t="str">
        <f t="shared" si="18"/>
        <v>Chloe Lewis</v>
      </c>
      <c r="E191" t="s">
        <v>622</v>
      </c>
      <c r="F191" t="str">
        <f t="shared" si="19"/>
        <v>United Arab Emirates</v>
      </c>
      <c r="G191" t="s">
        <v>637</v>
      </c>
      <c r="H191" t="s">
        <v>641</v>
      </c>
      <c r="I191">
        <v>5</v>
      </c>
      <c r="J191" s="1">
        <v>175</v>
      </c>
      <c r="K191" s="1">
        <v>105</v>
      </c>
      <c r="L191" s="2">
        <v>0.1</v>
      </c>
      <c r="M191" t="s">
        <v>644</v>
      </c>
      <c r="N191" t="s">
        <v>644</v>
      </c>
      <c r="O191" t="s">
        <v>650</v>
      </c>
      <c r="P191" t="str">
        <f t="shared" si="21"/>
        <v>Cancelled</v>
      </c>
      <c r="Q191" t="str">
        <f t="shared" si="22"/>
        <v>Valid</v>
      </c>
      <c r="R191" t="s">
        <v>669</v>
      </c>
      <c r="S191">
        <f t="shared" si="23"/>
        <v>787.5</v>
      </c>
      <c r="T191">
        <f t="shared" si="24"/>
        <v>525</v>
      </c>
      <c r="U191">
        <f t="shared" si="25"/>
        <v>262.5</v>
      </c>
      <c r="V191" s="8">
        <f t="shared" si="26"/>
        <v>0.33333333333333331</v>
      </c>
    </row>
    <row r="192" spans="1:22" x14ac:dyDescent="0.3">
      <c r="A192" t="s">
        <v>203</v>
      </c>
      <c r="B192" s="4">
        <v>45944</v>
      </c>
      <c r="C192" t="s">
        <v>589</v>
      </c>
      <c r="D192" t="str">
        <f t="shared" si="18"/>
        <v>Daniel Harris</v>
      </c>
      <c r="E192" t="s">
        <v>602</v>
      </c>
      <c r="F192" t="str">
        <f t="shared" si="19"/>
        <v>Australia</v>
      </c>
      <c r="G192" t="s">
        <v>633</v>
      </c>
      <c r="H192" t="s">
        <v>638</v>
      </c>
      <c r="I192">
        <v>3</v>
      </c>
      <c r="J192" s="1">
        <v>210</v>
      </c>
      <c r="K192" s="1">
        <v>125</v>
      </c>
      <c r="L192" s="2">
        <v>0</v>
      </c>
      <c r="M192" t="s">
        <v>647</v>
      </c>
      <c r="N192" t="str">
        <f t="shared" si="20"/>
        <v>Credit Card</v>
      </c>
      <c r="O192" t="s">
        <v>648</v>
      </c>
      <c r="P192" t="str">
        <f t="shared" si="21"/>
        <v>Completed</v>
      </c>
      <c r="Q192" t="str">
        <f t="shared" si="22"/>
        <v>Valid</v>
      </c>
      <c r="R192" t="s">
        <v>666</v>
      </c>
      <c r="S192">
        <f t="shared" si="23"/>
        <v>630</v>
      </c>
      <c r="T192">
        <f t="shared" si="24"/>
        <v>375</v>
      </c>
      <c r="U192">
        <f t="shared" si="25"/>
        <v>255</v>
      </c>
      <c r="V192" s="8">
        <f t="shared" si="26"/>
        <v>0.40476190476190477</v>
      </c>
    </row>
    <row r="193" spans="1:22" x14ac:dyDescent="0.3">
      <c r="A193" t="s">
        <v>204</v>
      </c>
      <c r="B193" s="4">
        <v>45849</v>
      </c>
      <c r="C193" t="s">
        <v>582</v>
      </c>
      <c r="D193" t="str">
        <f t="shared" si="18"/>
        <v>Alex Morgan</v>
      </c>
      <c r="E193" t="s">
        <v>619</v>
      </c>
      <c r="F193" t="str">
        <f t="shared" si="19"/>
        <v>India</v>
      </c>
      <c r="G193" t="s">
        <v>631</v>
      </c>
      <c r="H193" t="s">
        <v>641</v>
      </c>
      <c r="I193">
        <v>1</v>
      </c>
      <c r="J193" s="1">
        <v>85</v>
      </c>
      <c r="K193" s="1">
        <v>44</v>
      </c>
      <c r="L193" s="2">
        <v>0.1</v>
      </c>
      <c r="M193" t="s">
        <v>642</v>
      </c>
      <c r="N193" t="s">
        <v>644</v>
      </c>
      <c r="O193" t="s">
        <v>650</v>
      </c>
      <c r="P193" t="str">
        <f t="shared" si="21"/>
        <v>Cancelled</v>
      </c>
      <c r="Q193" t="str">
        <f t="shared" si="22"/>
        <v>Valid</v>
      </c>
      <c r="R193" t="s">
        <v>658</v>
      </c>
      <c r="S193">
        <f t="shared" si="23"/>
        <v>76.5</v>
      </c>
      <c r="T193">
        <f t="shared" si="24"/>
        <v>44</v>
      </c>
      <c r="U193">
        <f t="shared" si="25"/>
        <v>32.5</v>
      </c>
      <c r="V193" s="8">
        <f t="shared" si="26"/>
        <v>0.42483660130718953</v>
      </c>
    </row>
    <row r="194" spans="1:22" x14ac:dyDescent="0.3">
      <c r="A194" t="s">
        <v>205</v>
      </c>
      <c r="B194" s="4">
        <v>45663</v>
      </c>
      <c r="C194" t="s">
        <v>563</v>
      </c>
      <c r="D194" t="str">
        <f t="shared" si="18"/>
        <v>Liam Miller</v>
      </c>
      <c r="E194" t="s">
        <v>616</v>
      </c>
      <c r="F194" t="str">
        <f t="shared" si="19"/>
        <v>United Kingdom</v>
      </c>
      <c r="G194" t="s">
        <v>630</v>
      </c>
      <c r="H194" t="s">
        <v>640</v>
      </c>
      <c r="I194">
        <v>2</v>
      </c>
      <c r="J194" s="1">
        <v>78</v>
      </c>
      <c r="K194" s="1">
        <v>45</v>
      </c>
      <c r="L194" s="2">
        <v>0.05</v>
      </c>
      <c r="M194" t="s">
        <v>645</v>
      </c>
      <c r="N194" t="str">
        <f t="shared" si="20"/>
        <v>Bank Transfer</v>
      </c>
      <c r="O194" t="s">
        <v>648</v>
      </c>
      <c r="P194" t="str">
        <f t="shared" si="21"/>
        <v>Completed</v>
      </c>
      <c r="Q194" t="str">
        <f t="shared" si="22"/>
        <v>Valid</v>
      </c>
      <c r="R194" t="s">
        <v>656</v>
      </c>
      <c r="S194">
        <f t="shared" si="23"/>
        <v>148.19999999999999</v>
      </c>
      <c r="T194">
        <f t="shared" si="24"/>
        <v>90</v>
      </c>
      <c r="U194">
        <f t="shared" si="25"/>
        <v>58.199999999999989</v>
      </c>
      <c r="V194" s="8">
        <f t="shared" si="26"/>
        <v>0.39271255060728738</v>
      </c>
    </row>
    <row r="195" spans="1:22" x14ac:dyDescent="0.3">
      <c r="A195" t="s">
        <v>206</v>
      </c>
      <c r="B195" s="4">
        <v>45850</v>
      </c>
      <c r="C195" t="s">
        <v>594</v>
      </c>
      <c r="D195" t="str">
        <f t="shared" ref="D195:D258" si="27">PROPER(TRIM(C195))</f>
        <v>Lucas Jackson</v>
      </c>
      <c r="E195" t="s">
        <v>613</v>
      </c>
      <c r="F195" t="str">
        <f t="shared" ref="F195:F258" si="28">IF(OR(UPPER(TRIM(E195))="AUS",UPPER(TRIM(E195))="AUSTRALIA"),"Australia",IF(OR(UPPER(TRIM(E195))="CAN",UPPER(TRIM(E195))="CANADA"),"Canada",IF(OR(UPPER(TRIM(E195))="DE",UPPER(TRIM(E195))="GERMANY"),"Germany",IF(OR(UPPER(TRIM(E195))="IN",UPPER(TRIM(E195))="INDIA"),"India",IF(OR(UPPER(TRIM(E195))="US",UPPER(TRIM(E195))="USA",UPPER(TRIM(E195))="UNITED STATES"),"United States",IF(OR(UPPER(TRIM(E195))="UK",UPPER(TRIM(E195))="U.K.",UPPER(TRIM(E195))="UNITED KINGDOM"),"United Kingdom",IF(OR(UPPER(TRIM(E195))="UAE",UPPER(TRIM(E195))="U.A.E.",UPPER(TRIM(E195))="UNITED ARAB EMIRATES"),"United Arab Emirates",IF(OR(UPPER(TRIM(E195))="SG",UPPER(TRIM(E195))="SINGAPORE"),"Singapore",TRIM(E195)))))))))</f>
        <v>Singapore</v>
      </c>
      <c r="G195" t="s">
        <v>627</v>
      </c>
      <c r="H195" t="s">
        <v>639</v>
      </c>
      <c r="I195">
        <v>2</v>
      </c>
      <c r="J195" s="1">
        <v>38</v>
      </c>
      <c r="K195" s="1">
        <v>17</v>
      </c>
      <c r="L195" s="2">
        <v>0.15</v>
      </c>
      <c r="M195" t="s">
        <v>642</v>
      </c>
      <c r="N195" t="s">
        <v>644</v>
      </c>
      <c r="O195" t="s">
        <v>648</v>
      </c>
      <c r="P195" t="str">
        <f t="shared" ref="P195:P258" si="29">PROPER(TRIM(O195))</f>
        <v>Completed</v>
      </c>
      <c r="Q195" t="str">
        <f t="shared" ref="Q195:Q258" si="30">IF(TRIM(R195)="","Missing",IF(AND(ISNUMBER(SEARCH("@",R195)),ISNUMBER(SEARCH(".",R195,SEARCH("@",R195)+2))),"Valid","Invalid"))</f>
        <v>Valid</v>
      </c>
      <c r="R195" t="s">
        <v>668</v>
      </c>
      <c r="S195">
        <f t="shared" ref="S195:S258" si="31">I195*J195*(1-L195)</f>
        <v>64.599999999999994</v>
      </c>
      <c r="T195">
        <f t="shared" ref="T195:T258" si="32">I195*K195</f>
        <v>34</v>
      </c>
      <c r="U195">
        <f t="shared" ref="U195:U258" si="33">S195-T195</f>
        <v>30.599999999999994</v>
      </c>
      <c r="V195" s="8">
        <f t="shared" ref="V195:V258" si="34">IF(S195=0,0,U195/S195)</f>
        <v>0.47368421052631576</v>
      </c>
    </row>
    <row r="196" spans="1:22" x14ac:dyDescent="0.3">
      <c r="A196" t="s">
        <v>207</v>
      </c>
      <c r="B196" s="4">
        <v>45918</v>
      </c>
      <c r="C196" t="s">
        <v>577</v>
      </c>
      <c r="D196" t="str">
        <f t="shared" si="27"/>
        <v>Emma Wilson</v>
      </c>
      <c r="E196" t="s">
        <v>612</v>
      </c>
      <c r="F196" t="str">
        <f t="shared" si="28"/>
        <v>United Kingdom</v>
      </c>
      <c r="G196" t="s">
        <v>627</v>
      </c>
      <c r="H196" t="s">
        <v>639</v>
      </c>
      <c r="I196">
        <v>1</v>
      </c>
      <c r="J196" s="1">
        <v>38</v>
      </c>
      <c r="K196" s="1">
        <v>17</v>
      </c>
      <c r="L196" s="2">
        <v>0.05</v>
      </c>
      <c r="M196" t="s">
        <v>646</v>
      </c>
      <c r="N196" t="str">
        <f t="shared" ref="N196:N258" si="35">PROPER(TRIM(M196))</f>
        <v>Debit Card</v>
      </c>
      <c r="O196" t="s">
        <v>648</v>
      </c>
      <c r="P196" t="str">
        <f t="shared" si="29"/>
        <v>Completed</v>
      </c>
      <c r="Q196" t="str">
        <f t="shared" si="30"/>
        <v>Valid</v>
      </c>
      <c r="R196" t="s">
        <v>670</v>
      </c>
      <c r="S196">
        <f t="shared" si="31"/>
        <v>36.1</v>
      </c>
      <c r="T196">
        <f t="shared" si="32"/>
        <v>17</v>
      </c>
      <c r="U196">
        <f t="shared" si="33"/>
        <v>19.100000000000001</v>
      </c>
      <c r="V196" s="8">
        <f t="shared" si="34"/>
        <v>0.52908587257617734</v>
      </c>
    </row>
    <row r="197" spans="1:22" x14ac:dyDescent="0.3">
      <c r="A197" t="s">
        <v>208</v>
      </c>
      <c r="B197" s="4">
        <v>45856</v>
      </c>
      <c r="C197" t="s">
        <v>580</v>
      </c>
      <c r="D197" t="str">
        <f t="shared" si="27"/>
        <v>Benjamin Walker</v>
      </c>
      <c r="E197" t="s">
        <v>606</v>
      </c>
      <c r="F197" t="str">
        <f t="shared" si="28"/>
        <v>Canada</v>
      </c>
      <c r="G197" t="s">
        <v>635</v>
      </c>
      <c r="H197" t="s">
        <v>639</v>
      </c>
      <c r="I197">
        <v>4</v>
      </c>
      <c r="J197" s="1">
        <v>65</v>
      </c>
      <c r="K197" s="1">
        <v>31</v>
      </c>
      <c r="L197" s="2">
        <v>0.1</v>
      </c>
      <c r="M197" t="s">
        <v>647</v>
      </c>
      <c r="N197" t="str">
        <f t="shared" si="35"/>
        <v>Credit Card</v>
      </c>
      <c r="O197" t="s">
        <v>648</v>
      </c>
      <c r="P197" t="str">
        <f t="shared" si="29"/>
        <v>Completed</v>
      </c>
      <c r="Q197" t="str">
        <f t="shared" si="30"/>
        <v>Valid</v>
      </c>
      <c r="R197" t="s">
        <v>672</v>
      </c>
      <c r="S197">
        <f t="shared" si="31"/>
        <v>234</v>
      </c>
      <c r="T197">
        <f t="shared" si="32"/>
        <v>124</v>
      </c>
      <c r="U197">
        <f t="shared" si="33"/>
        <v>110</v>
      </c>
      <c r="V197" s="8">
        <f t="shared" si="34"/>
        <v>0.47008547008547008</v>
      </c>
    </row>
    <row r="198" spans="1:22" x14ac:dyDescent="0.3">
      <c r="A198" t="s">
        <v>209</v>
      </c>
      <c r="B198" s="4">
        <v>45812</v>
      </c>
      <c r="C198" t="s">
        <v>569</v>
      </c>
      <c r="D198" t="str">
        <f t="shared" si="27"/>
        <v>Mia White</v>
      </c>
      <c r="E198" t="s">
        <v>603</v>
      </c>
      <c r="F198" t="str">
        <f t="shared" si="28"/>
        <v>Germany</v>
      </c>
      <c r="G198" t="s">
        <v>629</v>
      </c>
      <c r="H198" t="s">
        <v>640</v>
      </c>
      <c r="I198">
        <v>3</v>
      </c>
      <c r="J198" s="1">
        <v>92</v>
      </c>
      <c r="K198" s="1">
        <v>53</v>
      </c>
      <c r="L198" s="2">
        <v>0</v>
      </c>
      <c r="M198" t="s">
        <v>646</v>
      </c>
      <c r="N198" t="str">
        <f t="shared" si="35"/>
        <v>Debit Card</v>
      </c>
      <c r="O198" t="s">
        <v>649</v>
      </c>
      <c r="P198" t="str">
        <f t="shared" si="29"/>
        <v>Pending</v>
      </c>
      <c r="Q198" t="str">
        <f t="shared" si="30"/>
        <v>Valid</v>
      </c>
      <c r="R198" t="s">
        <v>662</v>
      </c>
      <c r="S198">
        <f t="shared" si="31"/>
        <v>276</v>
      </c>
      <c r="T198">
        <f t="shared" si="32"/>
        <v>159</v>
      </c>
      <c r="U198">
        <f t="shared" si="33"/>
        <v>117</v>
      </c>
      <c r="V198" s="8">
        <f t="shared" si="34"/>
        <v>0.42391304347826086</v>
      </c>
    </row>
    <row r="199" spans="1:22" x14ac:dyDescent="0.3">
      <c r="A199" t="s">
        <v>210</v>
      </c>
      <c r="B199" s="4">
        <v>46010</v>
      </c>
      <c r="C199" t="s">
        <v>563</v>
      </c>
      <c r="D199" t="str">
        <f t="shared" si="27"/>
        <v>Liam Miller</v>
      </c>
      <c r="E199" t="s">
        <v>602</v>
      </c>
      <c r="F199" t="str">
        <f t="shared" si="28"/>
        <v>Australia</v>
      </c>
      <c r="G199" t="s">
        <v>635</v>
      </c>
      <c r="H199" t="s">
        <v>639</v>
      </c>
      <c r="I199">
        <v>4</v>
      </c>
      <c r="J199" s="1">
        <v>65</v>
      </c>
      <c r="K199" s="1">
        <v>31</v>
      </c>
      <c r="L199" s="2">
        <v>0.15</v>
      </c>
      <c r="M199" t="s">
        <v>647</v>
      </c>
      <c r="N199" t="str">
        <f t="shared" si="35"/>
        <v>Credit Card</v>
      </c>
      <c r="O199" t="s">
        <v>651</v>
      </c>
      <c r="P199" t="str">
        <f t="shared" si="29"/>
        <v>Shipped</v>
      </c>
      <c r="Q199" t="str">
        <f t="shared" si="30"/>
        <v>Valid</v>
      </c>
      <c r="R199" t="s">
        <v>656</v>
      </c>
      <c r="S199">
        <f t="shared" si="31"/>
        <v>221</v>
      </c>
      <c r="T199">
        <f t="shared" si="32"/>
        <v>124</v>
      </c>
      <c r="U199">
        <f t="shared" si="33"/>
        <v>97</v>
      </c>
      <c r="V199" s="8">
        <f t="shared" si="34"/>
        <v>0.43891402714932126</v>
      </c>
    </row>
    <row r="200" spans="1:22" x14ac:dyDescent="0.3">
      <c r="A200" t="s">
        <v>211</v>
      </c>
      <c r="B200" s="4">
        <v>45883</v>
      </c>
      <c r="C200" t="s">
        <v>564</v>
      </c>
      <c r="D200" t="str">
        <f t="shared" si="27"/>
        <v>Ava Thomas</v>
      </c>
      <c r="E200" t="s">
        <v>624</v>
      </c>
      <c r="F200" t="str">
        <f t="shared" si="28"/>
        <v>United Arab Emirates</v>
      </c>
      <c r="G200" t="s">
        <v>637</v>
      </c>
      <c r="H200" t="s">
        <v>641</v>
      </c>
      <c r="I200">
        <v>5</v>
      </c>
      <c r="J200" s="1">
        <v>175</v>
      </c>
      <c r="K200" s="1">
        <v>105</v>
      </c>
      <c r="L200" s="2">
        <v>0.05</v>
      </c>
      <c r="M200" t="s">
        <v>642</v>
      </c>
      <c r="N200" t="s">
        <v>644</v>
      </c>
      <c r="O200" t="s">
        <v>650</v>
      </c>
      <c r="P200" t="str">
        <f t="shared" si="29"/>
        <v>Cancelled</v>
      </c>
      <c r="Q200" t="str">
        <f t="shared" si="30"/>
        <v>Valid</v>
      </c>
      <c r="R200" t="s">
        <v>657</v>
      </c>
      <c r="S200">
        <f t="shared" si="31"/>
        <v>831.25</v>
      </c>
      <c r="T200">
        <f t="shared" si="32"/>
        <v>525</v>
      </c>
      <c r="U200">
        <f t="shared" si="33"/>
        <v>306.25</v>
      </c>
      <c r="V200" s="8">
        <f t="shared" si="34"/>
        <v>0.36842105263157893</v>
      </c>
    </row>
    <row r="201" spans="1:22" x14ac:dyDescent="0.3">
      <c r="A201" t="s">
        <v>212</v>
      </c>
      <c r="B201" s="4">
        <v>45903</v>
      </c>
      <c r="C201" t="s">
        <v>576</v>
      </c>
      <c r="D201" t="str">
        <f t="shared" si="27"/>
        <v>Chloe Lewis</v>
      </c>
      <c r="E201" t="s">
        <v>617</v>
      </c>
      <c r="F201" t="str">
        <f t="shared" si="28"/>
        <v>Germany</v>
      </c>
      <c r="G201" t="s">
        <v>637</v>
      </c>
      <c r="H201" t="s">
        <v>641</v>
      </c>
      <c r="I201">
        <v>1</v>
      </c>
      <c r="J201" s="1">
        <v>175</v>
      </c>
      <c r="K201" s="1">
        <v>105</v>
      </c>
      <c r="L201" s="2">
        <v>0.1</v>
      </c>
      <c r="M201" t="s">
        <v>647</v>
      </c>
      <c r="N201" t="str">
        <f t="shared" si="35"/>
        <v>Credit Card</v>
      </c>
      <c r="O201" t="s">
        <v>648</v>
      </c>
      <c r="P201" t="str">
        <f t="shared" si="29"/>
        <v>Completed</v>
      </c>
      <c r="Q201" t="str">
        <f t="shared" si="30"/>
        <v>Valid</v>
      </c>
      <c r="R201" t="s">
        <v>669</v>
      </c>
      <c r="S201">
        <f t="shared" si="31"/>
        <v>157.5</v>
      </c>
      <c r="T201">
        <f t="shared" si="32"/>
        <v>105</v>
      </c>
      <c r="U201">
        <f t="shared" si="33"/>
        <v>52.5</v>
      </c>
      <c r="V201" s="8">
        <f t="shared" si="34"/>
        <v>0.33333333333333331</v>
      </c>
    </row>
    <row r="202" spans="1:22" x14ac:dyDescent="0.3">
      <c r="A202" t="s">
        <v>213</v>
      </c>
      <c r="B202" s="4">
        <v>45811</v>
      </c>
      <c r="C202" t="s">
        <v>564</v>
      </c>
      <c r="D202" t="str">
        <f t="shared" si="27"/>
        <v>Ava Thomas</v>
      </c>
      <c r="E202" t="s">
        <v>621</v>
      </c>
      <c r="F202" t="str">
        <f t="shared" si="28"/>
        <v>Canada</v>
      </c>
      <c r="G202" t="s">
        <v>632</v>
      </c>
      <c r="H202" t="s">
        <v>639</v>
      </c>
      <c r="I202">
        <v>3</v>
      </c>
      <c r="J202" s="1">
        <v>42</v>
      </c>
      <c r="K202" s="1">
        <v>21</v>
      </c>
      <c r="L202" s="2">
        <v>0.05</v>
      </c>
      <c r="M202" t="s">
        <v>642</v>
      </c>
      <c r="N202" t="s">
        <v>644</v>
      </c>
      <c r="O202" t="s">
        <v>649</v>
      </c>
      <c r="P202" t="str">
        <f t="shared" si="29"/>
        <v>Pending</v>
      </c>
      <c r="Q202" t="str">
        <f t="shared" si="30"/>
        <v>Valid</v>
      </c>
      <c r="R202" t="s">
        <v>657</v>
      </c>
      <c r="S202">
        <f t="shared" si="31"/>
        <v>119.69999999999999</v>
      </c>
      <c r="T202">
        <f t="shared" si="32"/>
        <v>63</v>
      </c>
      <c r="U202">
        <f t="shared" si="33"/>
        <v>56.699999999999989</v>
      </c>
      <c r="V202" s="8">
        <f t="shared" si="34"/>
        <v>0.47368421052631576</v>
      </c>
    </row>
    <row r="203" spans="1:22" x14ac:dyDescent="0.3">
      <c r="A203" t="s">
        <v>214</v>
      </c>
      <c r="B203" s="4">
        <v>45960</v>
      </c>
      <c r="C203" t="s">
        <v>589</v>
      </c>
      <c r="D203" t="str">
        <f t="shared" si="27"/>
        <v>Daniel Harris</v>
      </c>
      <c r="E203" t="s">
        <v>600</v>
      </c>
      <c r="F203" t="str">
        <f t="shared" si="28"/>
        <v>Australia</v>
      </c>
      <c r="G203" t="s">
        <v>635</v>
      </c>
      <c r="H203" t="s">
        <v>639</v>
      </c>
      <c r="I203">
        <v>3</v>
      </c>
      <c r="J203" s="1">
        <v>65</v>
      </c>
      <c r="K203" s="1">
        <v>31</v>
      </c>
      <c r="L203" s="2">
        <v>0.05</v>
      </c>
      <c r="M203" t="s">
        <v>646</v>
      </c>
      <c r="N203" t="str">
        <f t="shared" si="35"/>
        <v>Debit Card</v>
      </c>
      <c r="O203" t="s">
        <v>650</v>
      </c>
      <c r="P203" t="str">
        <f t="shared" si="29"/>
        <v>Cancelled</v>
      </c>
      <c r="Q203" t="str">
        <f t="shared" si="30"/>
        <v>Valid</v>
      </c>
      <c r="R203" t="s">
        <v>666</v>
      </c>
      <c r="S203">
        <f t="shared" si="31"/>
        <v>185.25</v>
      </c>
      <c r="T203">
        <f t="shared" si="32"/>
        <v>93</v>
      </c>
      <c r="U203">
        <f t="shared" si="33"/>
        <v>92.25</v>
      </c>
      <c r="V203" s="8">
        <f t="shared" si="34"/>
        <v>0.49797570850202427</v>
      </c>
    </row>
    <row r="204" spans="1:22" x14ac:dyDescent="0.3">
      <c r="A204" t="s">
        <v>215</v>
      </c>
      <c r="B204" s="4">
        <v>45998</v>
      </c>
      <c r="C204" t="s">
        <v>573</v>
      </c>
      <c r="D204" t="str">
        <f t="shared" si="27"/>
        <v>Noah Brown</v>
      </c>
      <c r="E204" t="s">
        <v>608</v>
      </c>
      <c r="F204" t="str">
        <f t="shared" si="28"/>
        <v>India</v>
      </c>
      <c r="G204" t="s">
        <v>627</v>
      </c>
      <c r="H204" t="s">
        <v>639</v>
      </c>
      <c r="I204">
        <v>3</v>
      </c>
      <c r="J204" s="1">
        <v>38</v>
      </c>
      <c r="K204" s="1">
        <v>17</v>
      </c>
      <c r="L204" s="2">
        <v>0</v>
      </c>
      <c r="M204" t="s">
        <v>644</v>
      </c>
      <c r="N204" t="s">
        <v>644</v>
      </c>
      <c r="O204" t="s">
        <v>650</v>
      </c>
      <c r="P204" t="str">
        <f t="shared" si="29"/>
        <v>Cancelled</v>
      </c>
      <c r="Q204" t="str">
        <f t="shared" si="30"/>
        <v>Valid</v>
      </c>
      <c r="R204" t="s">
        <v>667</v>
      </c>
      <c r="S204">
        <f t="shared" si="31"/>
        <v>114</v>
      </c>
      <c r="T204">
        <f t="shared" si="32"/>
        <v>51</v>
      </c>
      <c r="U204">
        <f t="shared" si="33"/>
        <v>63</v>
      </c>
      <c r="V204" s="8">
        <f t="shared" si="34"/>
        <v>0.55263157894736847</v>
      </c>
    </row>
    <row r="205" spans="1:22" x14ac:dyDescent="0.3">
      <c r="A205" t="s">
        <v>216</v>
      </c>
      <c r="B205" s="4">
        <v>45852</v>
      </c>
      <c r="C205" t="s">
        <v>584</v>
      </c>
      <c r="D205" t="str">
        <f t="shared" si="27"/>
        <v>James Thompson</v>
      </c>
      <c r="E205" t="s">
        <v>606</v>
      </c>
      <c r="F205" t="str">
        <f t="shared" si="28"/>
        <v>Canada</v>
      </c>
      <c r="G205" t="s">
        <v>630</v>
      </c>
      <c r="H205" t="s">
        <v>640</v>
      </c>
      <c r="I205">
        <v>2</v>
      </c>
      <c r="J205" s="1">
        <v>78</v>
      </c>
      <c r="K205" s="1">
        <v>45</v>
      </c>
      <c r="L205" s="2">
        <v>0.1</v>
      </c>
      <c r="M205" t="s">
        <v>645</v>
      </c>
      <c r="N205" t="str">
        <f t="shared" si="35"/>
        <v>Bank Transfer</v>
      </c>
      <c r="O205" t="s">
        <v>648</v>
      </c>
      <c r="P205" t="str">
        <f t="shared" si="29"/>
        <v>Completed</v>
      </c>
      <c r="Q205" t="str">
        <f t="shared" si="30"/>
        <v>Valid</v>
      </c>
      <c r="R205" t="s">
        <v>675</v>
      </c>
      <c r="S205">
        <f t="shared" si="31"/>
        <v>140.4</v>
      </c>
      <c r="T205">
        <f t="shared" si="32"/>
        <v>90</v>
      </c>
      <c r="U205">
        <f t="shared" si="33"/>
        <v>50.400000000000006</v>
      </c>
      <c r="V205" s="8">
        <f t="shared" si="34"/>
        <v>0.35897435897435898</v>
      </c>
    </row>
    <row r="206" spans="1:22" x14ac:dyDescent="0.3">
      <c r="A206" t="s">
        <v>217</v>
      </c>
      <c r="B206" s="4">
        <v>45710</v>
      </c>
      <c r="C206" t="s">
        <v>584</v>
      </c>
      <c r="D206" t="str">
        <f t="shared" si="27"/>
        <v>James Thompson</v>
      </c>
      <c r="E206" t="s">
        <v>609</v>
      </c>
      <c r="F206" t="str">
        <f t="shared" si="28"/>
        <v>Singapore</v>
      </c>
      <c r="G206" t="s">
        <v>634</v>
      </c>
      <c r="H206" t="s">
        <v>641</v>
      </c>
      <c r="I206">
        <v>1</v>
      </c>
      <c r="J206" s="1">
        <v>59</v>
      </c>
      <c r="K206" s="1">
        <v>30</v>
      </c>
      <c r="L206" s="2">
        <v>0.05</v>
      </c>
      <c r="N206" t="s">
        <v>717</v>
      </c>
      <c r="O206" t="s">
        <v>648</v>
      </c>
      <c r="P206" t="str">
        <f t="shared" si="29"/>
        <v>Completed</v>
      </c>
      <c r="Q206" t="str">
        <f t="shared" si="30"/>
        <v>Valid</v>
      </c>
      <c r="R206" t="s">
        <v>675</v>
      </c>
      <c r="S206">
        <f t="shared" si="31"/>
        <v>56.05</v>
      </c>
      <c r="T206">
        <f t="shared" si="32"/>
        <v>30</v>
      </c>
      <c r="U206">
        <f t="shared" si="33"/>
        <v>26.049999999999997</v>
      </c>
      <c r="V206" s="8">
        <f t="shared" si="34"/>
        <v>0.46476360392506688</v>
      </c>
    </row>
    <row r="207" spans="1:22" x14ac:dyDescent="0.3">
      <c r="A207" t="s">
        <v>218</v>
      </c>
      <c r="B207" s="4">
        <v>45812</v>
      </c>
      <c r="C207" t="s">
        <v>573</v>
      </c>
      <c r="D207" t="str">
        <f t="shared" si="27"/>
        <v>Noah Brown</v>
      </c>
      <c r="E207" t="s">
        <v>619</v>
      </c>
      <c r="F207" t="str">
        <f t="shared" si="28"/>
        <v>India</v>
      </c>
      <c r="G207" t="s">
        <v>627</v>
      </c>
      <c r="H207" t="s">
        <v>639</v>
      </c>
      <c r="I207">
        <v>4</v>
      </c>
      <c r="J207" s="1">
        <v>38</v>
      </c>
      <c r="K207" s="1">
        <v>17</v>
      </c>
      <c r="L207" s="2">
        <v>0</v>
      </c>
      <c r="M207" t="s">
        <v>644</v>
      </c>
      <c r="N207" t="s">
        <v>644</v>
      </c>
      <c r="O207" t="s">
        <v>650</v>
      </c>
      <c r="P207" t="str">
        <f t="shared" si="29"/>
        <v>Cancelled</v>
      </c>
      <c r="Q207" t="str">
        <f t="shared" si="30"/>
        <v>Valid</v>
      </c>
      <c r="R207" t="s">
        <v>667</v>
      </c>
      <c r="S207">
        <f t="shared" si="31"/>
        <v>152</v>
      </c>
      <c r="T207">
        <f t="shared" si="32"/>
        <v>68</v>
      </c>
      <c r="U207">
        <f t="shared" si="33"/>
        <v>84</v>
      </c>
      <c r="V207" s="8">
        <f t="shared" si="34"/>
        <v>0.55263157894736847</v>
      </c>
    </row>
    <row r="208" spans="1:22" x14ac:dyDescent="0.3">
      <c r="A208" t="s">
        <v>219</v>
      </c>
      <c r="B208" s="4">
        <v>45817</v>
      </c>
      <c r="C208" t="s">
        <v>571</v>
      </c>
      <c r="D208" t="str">
        <f t="shared" si="27"/>
        <v>Henry Clark</v>
      </c>
      <c r="E208" t="s">
        <v>615</v>
      </c>
      <c r="F208" t="str">
        <f t="shared" si="28"/>
        <v>Canada</v>
      </c>
      <c r="G208" t="s">
        <v>628</v>
      </c>
      <c r="H208" t="s">
        <v>639</v>
      </c>
      <c r="I208">
        <v>2</v>
      </c>
      <c r="J208" s="1">
        <v>18</v>
      </c>
      <c r="K208" s="1">
        <v>7</v>
      </c>
      <c r="L208" s="2">
        <v>0</v>
      </c>
      <c r="M208" t="s">
        <v>646</v>
      </c>
      <c r="N208" t="str">
        <f t="shared" si="35"/>
        <v>Debit Card</v>
      </c>
      <c r="O208" t="s">
        <v>648</v>
      </c>
      <c r="P208" t="str">
        <f t="shared" si="29"/>
        <v>Completed</v>
      </c>
      <c r="Q208" t="str">
        <f t="shared" si="30"/>
        <v>Valid</v>
      </c>
      <c r="R208" t="s">
        <v>664</v>
      </c>
      <c r="S208">
        <f t="shared" si="31"/>
        <v>36</v>
      </c>
      <c r="T208">
        <f t="shared" si="32"/>
        <v>14</v>
      </c>
      <c r="U208">
        <f t="shared" si="33"/>
        <v>22</v>
      </c>
      <c r="V208" s="8">
        <f t="shared" si="34"/>
        <v>0.61111111111111116</v>
      </c>
    </row>
    <row r="209" spans="1:22" x14ac:dyDescent="0.3">
      <c r="A209" t="s">
        <v>220</v>
      </c>
      <c r="B209" s="4">
        <v>45718</v>
      </c>
      <c r="C209" t="s">
        <v>577</v>
      </c>
      <c r="D209" t="str">
        <f t="shared" si="27"/>
        <v>Emma Wilson</v>
      </c>
      <c r="E209" t="s">
        <v>606</v>
      </c>
      <c r="F209" t="str">
        <f t="shared" si="28"/>
        <v>Canada</v>
      </c>
      <c r="G209" t="s">
        <v>629</v>
      </c>
      <c r="H209" t="s">
        <v>640</v>
      </c>
      <c r="I209">
        <v>1</v>
      </c>
      <c r="J209" s="1">
        <v>92</v>
      </c>
      <c r="K209" s="1">
        <v>53</v>
      </c>
      <c r="L209" s="2">
        <v>0.2</v>
      </c>
      <c r="M209" t="s">
        <v>643</v>
      </c>
      <c r="N209" t="str">
        <f t="shared" si="35"/>
        <v>Credit Card</v>
      </c>
      <c r="O209" t="s">
        <v>648</v>
      </c>
      <c r="P209" t="str">
        <f t="shared" si="29"/>
        <v>Completed</v>
      </c>
      <c r="Q209" t="str">
        <f t="shared" si="30"/>
        <v>Valid</v>
      </c>
      <c r="R209" t="s">
        <v>670</v>
      </c>
      <c r="S209">
        <f t="shared" si="31"/>
        <v>73.600000000000009</v>
      </c>
      <c r="T209">
        <f t="shared" si="32"/>
        <v>53</v>
      </c>
      <c r="U209">
        <f t="shared" si="33"/>
        <v>20.600000000000009</v>
      </c>
      <c r="V209" s="8">
        <f t="shared" si="34"/>
        <v>0.27989130434782616</v>
      </c>
    </row>
    <row r="210" spans="1:22" x14ac:dyDescent="0.3">
      <c r="A210" t="s">
        <v>221</v>
      </c>
      <c r="B210" s="4">
        <v>45807</v>
      </c>
      <c r="C210" t="s">
        <v>580</v>
      </c>
      <c r="D210" t="str">
        <f t="shared" si="27"/>
        <v>Benjamin Walker</v>
      </c>
      <c r="E210" t="s">
        <v>600</v>
      </c>
      <c r="F210" t="str">
        <f t="shared" si="28"/>
        <v>Australia</v>
      </c>
      <c r="G210" t="s">
        <v>637</v>
      </c>
      <c r="H210" t="s">
        <v>641</v>
      </c>
      <c r="I210">
        <v>4</v>
      </c>
      <c r="J210" s="1">
        <v>175</v>
      </c>
      <c r="K210" s="1">
        <v>105</v>
      </c>
      <c r="L210" s="2">
        <v>0</v>
      </c>
      <c r="M210" t="s">
        <v>643</v>
      </c>
      <c r="N210" t="str">
        <f t="shared" si="35"/>
        <v>Credit Card</v>
      </c>
      <c r="O210" t="s">
        <v>650</v>
      </c>
      <c r="P210" t="str">
        <f t="shared" si="29"/>
        <v>Cancelled</v>
      </c>
      <c r="Q210" t="str">
        <f t="shared" si="30"/>
        <v>Valid</v>
      </c>
      <c r="R210" t="s">
        <v>672</v>
      </c>
      <c r="S210">
        <f t="shared" si="31"/>
        <v>700</v>
      </c>
      <c r="T210">
        <f t="shared" si="32"/>
        <v>420</v>
      </c>
      <c r="U210">
        <f t="shared" si="33"/>
        <v>280</v>
      </c>
      <c r="V210" s="8">
        <f t="shared" si="34"/>
        <v>0.4</v>
      </c>
    </row>
    <row r="211" spans="1:22" x14ac:dyDescent="0.3">
      <c r="A211" t="s">
        <v>222</v>
      </c>
      <c r="B211" s="4">
        <v>45986</v>
      </c>
      <c r="C211" t="s">
        <v>572</v>
      </c>
      <c r="D211" t="str">
        <f t="shared" si="27"/>
        <v>Olivia Davis</v>
      </c>
      <c r="E211" t="s">
        <v>609</v>
      </c>
      <c r="F211" t="str">
        <f t="shared" si="28"/>
        <v>Singapore</v>
      </c>
      <c r="G211" t="s">
        <v>632</v>
      </c>
      <c r="H211" t="s">
        <v>639</v>
      </c>
      <c r="I211">
        <v>2</v>
      </c>
      <c r="J211" s="1">
        <v>42</v>
      </c>
      <c r="K211" s="1">
        <v>21</v>
      </c>
      <c r="L211" s="2">
        <v>0</v>
      </c>
      <c r="M211" t="s">
        <v>645</v>
      </c>
      <c r="N211" t="str">
        <f t="shared" si="35"/>
        <v>Bank Transfer</v>
      </c>
      <c r="O211" t="s">
        <v>648</v>
      </c>
      <c r="P211" t="str">
        <f t="shared" si="29"/>
        <v>Completed</v>
      </c>
      <c r="Q211" t="str">
        <f t="shared" si="30"/>
        <v>Valid</v>
      </c>
      <c r="R211" t="s">
        <v>665</v>
      </c>
      <c r="S211">
        <f t="shared" si="31"/>
        <v>84</v>
      </c>
      <c r="T211">
        <f t="shared" si="32"/>
        <v>42</v>
      </c>
      <c r="U211">
        <f t="shared" si="33"/>
        <v>42</v>
      </c>
      <c r="V211" s="8">
        <f t="shared" si="34"/>
        <v>0.5</v>
      </c>
    </row>
    <row r="212" spans="1:22" x14ac:dyDescent="0.3">
      <c r="A212" t="s">
        <v>223</v>
      </c>
      <c r="B212" s="4">
        <v>45915</v>
      </c>
      <c r="C212" t="s">
        <v>571</v>
      </c>
      <c r="D212" t="str">
        <f t="shared" si="27"/>
        <v>Henry Clark</v>
      </c>
      <c r="E212" t="s">
        <v>611</v>
      </c>
      <c r="F212" t="str">
        <f t="shared" si="28"/>
        <v>United States</v>
      </c>
      <c r="G212" t="s">
        <v>627</v>
      </c>
      <c r="H212" t="s">
        <v>639</v>
      </c>
      <c r="I212">
        <v>1</v>
      </c>
      <c r="J212" s="1">
        <v>38</v>
      </c>
      <c r="K212" s="1">
        <v>17</v>
      </c>
      <c r="L212" s="2">
        <v>0.05</v>
      </c>
      <c r="M212" t="s">
        <v>647</v>
      </c>
      <c r="N212" t="str">
        <f t="shared" si="35"/>
        <v>Credit Card</v>
      </c>
      <c r="O212" t="s">
        <v>650</v>
      </c>
      <c r="P212" t="str">
        <f t="shared" si="29"/>
        <v>Cancelled</v>
      </c>
      <c r="Q212" t="str">
        <f t="shared" si="30"/>
        <v>Missing</v>
      </c>
      <c r="S212">
        <f t="shared" si="31"/>
        <v>36.1</v>
      </c>
      <c r="T212">
        <f t="shared" si="32"/>
        <v>17</v>
      </c>
      <c r="U212">
        <f t="shared" si="33"/>
        <v>19.100000000000001</v>
      </c>
      <c r="V212" s="8">
        <f t="shared" si="34"/>
        <v>0.52908587257617734</v>
      </c>
    </row>
    <row r="213" spans="1:22" x14ac:dyDescent="0.3">
      <c r="A213" t="s">
        <v>224</v>
      </c>
      <c r="B213" s="4">
        <v>45786</v>
      </c>
      <c r="C213" t="s">
        <v>575</v>
      </c>
      <c r="D213" t="str">
        <f t="shared" si="27"/>
        <v>Lucas Jackson</v>
      </c>
      <c r="E213" t="s">
        <v>601</v>
      </c>
      <c r="F213" t="str">
        <f t="shared" si="28"/>
        <v>United Kingdom</v>
      </c>
      <c r="G213" t="s">
        <v>634</v>
      </c>
      <c r="H213" t="s">
        <v>641</v>
      </c>
      <c r="I213">
        <v>5</v>
      </c>
      <c r="J213" s="1">
        <v>59</v>
      </c>
      <c r="K213" s="1">
        <v>30</v>
      </c>
      <c r="L213" s="2">
        <v>0</v>
      </c>
      <c r="M213" t="s">
        <v>644</v>
      </c>
      <c r="N213" t="s">
        <v>644</v>
      </c>
      <c r="O213" t="s">
        <v>648</v>
      </c>
      <c r="P213" t="str">
        <f t="shared" si="29"/>
        <v>Completed</v>
      </c>
      <c r="Q213" t="str">
        <f t="shared" si="30"/>
        <v>Valid</v>
      </c>
      <c r="R213" t="s">
        <v>668</v>
      </c>
      <c r="S213">
        <f t="shared" si="31"/>
        <v>295</v>
      </c>
      <c r="T213">
        <f t="shared" si="32"/>
        <v>150</v>
      </c>
      <c r="U213">
        <f t="shared" si="33"/>
        <v>145</v>
      </c>
      <c r="V213" s="8">
        <f t="shared" si="34"/>
        <v>0.49152542372881358</v>
      </c>
    </row>
    <row r="214" spans="1:22" x14ac:dyDescent="0.3">
      <c r="A214" t="s">
        <v>225</v>
      </c>
      <c r="B214" s="4">
        <v>45789</v>
      </c>
      <c r="C214" t="s">
        <v>570</v>
      </c>
      <c r="D214" t="str">
        <f t="shared" si="27"/>
        <v>Grace Moore</v>
      </c>
      <c r="E214" t="s">
        <v>624</v>
      </c>
      <c r="F214" t="str">
        <f t="shared" si="28"/>
        <v>United Arab Emirates</v>
      </c>
      <c r="G214" t="s">
        <v>634</v>
      </c>
      <c r="H214" t="s">
        <v>641</v>
      </c>
      <c r="I214">
        <v>3</v>
      </c>
      <c r="J214" s="1">
        <v>59</v>
      </c>
      <c r="K214" s="1">
        <v>30</v>
      </c>
      <c r="L214" s="2">
        <v>0.1</v>
      </c>
      <c r="M214" t="s">
        <v>647</v>
      </c>
      <c r="N214" t="str">
        <f t="shared" si="35"/>
        <v>Credit Card</v>
      </c>
      <c r="O214" t="s">
        <v>651</v>
      </c>
      <c r="P214" t="str">
        <f t="shared" si="29"/>
        <v>Shipped</v>
      </c>
      <c r="Q214" t="str">
        <f t="shared" si="30"/>
        <v>Valid</v>
      </c>
      <c r="R214" t="s">
        <v>663</v>
      </c>
      <c r="S214">
        <f t="shared" si="31"/>
        <v>159.30000000000001</v>
      </c>
      <c r="T214">
        <f t="shared" si="32"/>
        <v>90</v>
      </c>
      <c r="U214">
        <f t="shared" si="33"/>
        <v>69.300000000000011</v>
      </c>
      <c r="V214" s="8">
        <f t="shared" si="34"/>
        <v>0.43502824858757067</v>
      </c>
    </row>
    <row r="215" spans="1:22" x14ac:dyDescent="0.3">
      <c r="A215" t="s">
        <v>226</v>
      </c>
      <c r="B215" s="4">
        <v>45893</v>
      </c>
      <c r="C215" t="s">
        <v>584</v>
      </c>
      <c r="D215" t="str">
        <f t="shared" si="27"/>
        <v>James Thompson</v>
      </c>
      <c r="E215" t="s">
        <v>614</v>
      </c>
      <c r="F215" t="str">
        <f t="shared" si="28"/>
        <v>Australia</v>
      </c>
      <c r="G215" t="s">
        <v>637</v>
      </c>
      <c r="H215" t="s">
        <v>641</v>
      </c>
      <c r="I215">
        <v>4</v>
      </c>
      <c r="J215" s="1">
        <v>175</v>
      </c>
      <c r="K215" s="1">
        <v>105</v>
      </c>
      <c r="L215" s="2">
        <v>0.1</v>
      </c>
      <c r="M215" t="s">
        <v>643</v>
      </c>
      <c r="N215" t="str">
        <f t="shared" si="35"/>
        <v>Credit Card</v>
      </c>
      <c r="O215" t="s">
        <v>649</v>
      </c>
      <c r="P215" t="str">
        <f t="shared" si="29"/>
        <v>Pending</v>
      </c>
      <c r="Q215" t="str">
        <f t="shared" si="30"/>
        <v>Valid</v>
      </c>
      <c r="R215" t="s">
        <v>675</v>
      </c>
      <c r="S215">
        <f t="shared" si="31"/>
        <v>630</v>
      </c>
      <c r="T215">
        <f t="shared" si="32"/>
        <v>420</v>
      </c>
      <c r="U215">
        <f t="shared" si="33"/>
        <v>210</v>
      </c>
      <c r="V215" s="8">
        <f t="shared" si="34"/>
        <v>0.33333333333333331</v>
      </c>
    </row>
    <row r="216" spans="1:22" x14ac:dyDescent="0.3">
      <c r="A216" t="s">
        <v>227</v>
      </c>
      <c r="B216" s="4">
        <v>45841</v>
      </c>
      <c r="C216" t="s">
        <v>580</v>
      </c>
      <c r="D216" t="str">
        <f t="shared" si="27"/>
        <v>Benjamin Walker</v>
      </c>
      <c r="E216" t="s">
        <v>616</v>
      </c>
      <c r="F216" t="str">
        <f t="shared" si="28"/>
        <v>United Kingdom</v>
      </c>
      <c r="G216" t="s">
        <v>632</v>
      </c>
      <c r="H216" t="s">
        <v>639</v>
      </c>
      <c r="I216">
        <v>3</v>
      </c>
      <c r="J216" s="1">
        <v>42</v>
      </c>
      <c r="K216" s="1">
        <v>21</v>
      </c>
      <c r="L216" s="2">
        <v>0.1</v>
      </c>
      <c r="M216" t="s">
        <v>646</v>
      </c>
      <c r="N216" t="str">
        <f t="shared" si="35"/>
        <v>Debit Card</v>
      </c>
      <c r="O216" t="s">
        <v>649</v>
      </c>
      <c r="P216" t="str">
        <f t="shared" si="29"/>
        <v>Pending</v>
      </c>
      <c r="Q216" t="str">
        <f t="shared" si="30"/>
        <v>Valid</v>
      </c>
      <c r="R216" t="s">
        <v>672</v>
      </c>
      <c r="S216">
        <f t="shared" si="31"/>
        <v>113.4</v>
      </c>
      <c r="T216">
        <f t="shared" si="32"/>
        <v>63</v>
      </c>
      <c r="U216">
        <f t="shared" si="33"/>
        <v>50.400000000000006</v>
      </c>
      <c r="V216" s="8">
        <f t="shared" si="34"/>
        <v>0.44444444444444448</v>
      </c>
    </row>
    <row r="217" spans="1:22" x14ac:dyDescent="0.3">
      <c r="A217" t="s">
        <v>228</v>
      </c>
      <c r="B217" s="4">
        <v>45703</v>
      </c>
      <c r="C217" t="s">
        <v>584</v>
      </c>
      <c r="D217" t="str">
        <f t="shared" si="27"/>
        <v>James Thompson</v>
      </c>
      <c r="E217" t="s">
        <v>609</v>
      </c>
      <c r="F217" t="str">
        <f t="shared" si="28"/>
        <v>Singapore</v>
      </c>
      <c r="G217" t="s">
        <v>631</v>
      </c>
      <c r="H217" t="s">
        <v>641</v>
      </c>
      <c r="I217">
        <v>1</v>
      </c>
      <c r="J217" s="1">
        <v>85</v>
      </c>
      <c r="K217" s="1">
        <v>44</v>
      </c>
      <c r="L217" s="2">
        <v>0</v>
      </c>
      <c r="M217" t="s">
        <v>643</v>
      </c>
      <c r="N217" t="str">
        <f t="shared" si="35"/>
        <v>Credit Card</v>
      </c>
      <c r="O217" t="s">
        <v>648</v>
      </c>
      <c r="P217" t="str">
        <f t="shared" si="29"/>
        <v>Completed</v>
      </c>
      <c r="Q217" t="str">
        <f t="shared" si="30"/>
        <v>Valid</v>
      </c>
      <c r="R217" t="s">
        <v>675</v>
      </c>
      <c r="S217">
        <f t="shared" si="31"/>
        <v>85</v>
      </c>
      <c r="T217">
        <f t="shared" si="32"/>
        <v>44</v>
      </c>
      <c r="U217">
        <f t="shared" si="33"/>
        <v>41</v>
      </c>
      <c r="V217" s="8">
        <f t="shared" si="34"/>
        <v>0.4823529411764706</v>
      </c>
    </row>
    <row r="218" spans="1:22" x14ac:dyDescent="0.3">
      <c r="A218" t="s">
        <v>229</v>
      </c>
      <c r="B218" s="4">
        <v>45731</v>
      </c>
      <c r="C218" t="s">
        <v>563</v>
      </c>
      <c r="D218" t="str">
        <f t="shared" si="27"/>
        <v>Liam Miller</v>
      </c>
      <c r="E218" t="s">
        <v>606</v>
      </c>
      <c r="F218" t="str">
        <f t="shared" si="28"/>
        <v>Canada</v>
      </c>
      <c r="G218" t="s">
        <v>630</v>
      </c>
      <c r="H218" t="s">
        <v>640</v>
      </c>
      <c r="I218">
        <v>5</v>
      </c>
      <c r="J218" s="1">
        <v>78</v>
      </c>
      <c r="K218" s="1">
        <v>45</v>
      </c>
      <c r="L218" s="2">
        <v>0.15</v>
      </c>
      <c r="M218" t="s">
        <v>646</v>
      </c>
      <c r="N218" t="str">
        <f t="shared" si="35"/>
        <v>Debit Card</v>
      </c>
      <c r="O218" t="s">
        <v>650</v>
      </c>
      <c r="P218" t="str">
        <f t="shared" si="29"/>
        <v>Cancelled</v>
      </c>
      <c r="Q218" t="str">
        <f t="shared" si="30"/>
        <v>Valid</v>
      </c>
      <c r="R218" t="s">
        <v>656</v>
      </c>
      <c r="S218">
        <f t="shared" si="31"/>
        <v>331.5</v>
      </c>
      <c r="T218">
        <f t="shared" si="32"/>
        <v>225</v>
      </c>
      <c r="U218">
        <f t="shared" si="33"/>
        <v>106.5</v>
      </c>
      <c r="V218" s="8">
        <f t="shared" si="34"/>
        <v>0.32126696832579188</v>
      </c>
    </row>
    <row r="219" spans="1:22" x14ac:dyDescent="0.3">
      <c r="A219" t="s">
        <v>230</v>
      </c>
      <c r="B219" s="4">
        <v>45891</v>
      </c>
      <c r="C219" t="s">
        <v>563</v>
      </c>
      <c r="D219" t="str">
        <f t="shared" si="27"/>
        <v>Liam Miller</v>
      </c>
      <c r="F219" t="s">
        <v>717</v>
      </c>
      <c r="G219" t="s">
        <v>626</v>
      </c>
      <c r="H219" t="s">
        <v>638</v>
      </c>
      <c r="I219">
        <v>2</v>
      </c>
      <c r="J219" s="1">
        <v>36</v>
      </c>
      <c r="K219" s="1">
        <v>16</v>
      </c>
      <c r="L219" s="2">
        <v>0.15</v>
      </c>
      <c r="M219" t="s">
        <v>645</v>
      </c>
      <c r="N219" t="str">
        <f t="shared" si="35"/>
        <v>Bank Transfer</v>
      </c>
      <c r="O219" t="s">
        <v>648</v>
      </c>
      <c r="P219" t="str">
        <f t="shared" si="29"/>
        <v>Completed</v>
      </c>
      <c r="Q219" t="str">
        <f t="shared" si="30"/>
        <v>Valid</v>
      </c>
      <c r="R219" t="s">
        <v>656</v>
      </c>
      <c r="S219">
        <f t="shared" si="31"/>
        <v>61.199999999999996</v>
      </c>
      <c r="T219">
        <f t="shared" si="32"/>
        <v>32</v>
      </c>
      <c r="U219">
        <f t="shared" si="33"/>
        <v>29.199999999999996</v>
      </c>
      <c r="V219" s="8">
        <f t="shared" si="34"/>
        <v>0.47712418300653592</v>
      </c>
    </row>
    <row r="220" spans="1:22" x14ac:dyDescent="0.3">
      <c r="A220" t="s">
        <v>231</v>
      </c>
      <c r="B220" s="4">
        <v>45668</v>
      </c>
      <c r="C220" t="s">
        <v>569</v>
      </c>
      <c r="D220" t="str">
        <f t="shared" si="27"/>
        <v>Mia White</v>
      </c>
      <c r="E220" t="s">
        <v>605</v>
      </c>
      <c r="F220" t="str">
        <f t="shared" si="28"/>
        <v>Singapore</v>
      </c>
      <c r="G220" t="s">
        <v>634</v>
      </c>
      <c r="H220" t="s">
        <v>641</v>
      </c>
      <c r="I220">
        <v>4</v>
      </c>
      <c r="J220" s="1">
        <v>59</v>
      </c>
      <c r="K220" s="1">
        <v>30</v>
      </c>
      <c r="L220" s="2">
        <v>0.1</v>
      </c>
      <c r="M220" t="s">
        <v>644</v>
      </c>
      <c r="N220" t="s">
        <v>644</v>
      </c>
      <c r="O220" t="s">
        <v>648</v>
      </c>
      <c r="P220" t="str">
        <f t="shared" si="29"/>
        <v>Completed</v>
      </c>
      <c r="Q220" t="str">
        <f t="shared" si="30"/>
        <v>Valid</v>
      </c>
      <c r="R220" t="s">
        <v>662</v>
      </c>
      <c r="S220">
        <f t="shared" si="31"/>
        <v>212.4</v>
      </c>
      <c r="T220">
        <f t="shared" si="32"/>
        <v>120</v>
      </c>
      <c r="U220">
        <f t="shared" si="33"/>
        <v>92.4</v>
      </c>
      <c r="V220" s="8">
        <f t="shared" si="34"/>
        <v>0.43502824858757061</v>
      </c>
    </row>
    <row r="221" spans="1:22" x14ac:dyDescent="0.3">
      <c r="A221" t="s">
        <v>232</v>
      </c>
      <c r="B221" s="4">
        <v>45768</v>
      </c>
      <c r="C221" t="s">
        <v>580</v>
      </c>
      <c r="D221" t="str">
        <f t="shared" si="27"/>
        <v>Benjamin Walker</v>
      </c>
      <c r="E221" t="s">
        <v>604</v>
      </c>
      <c r="F221" t="str">
        <f t="shared" si="28"/>
        <v>United States</v>
      </c>
      <c r="G221" t="s">
        <v>629</v>
      </c>
      <c r="H221" t="s">
        <v>640</v>
      </c>
      <c r="I221">
        <v>3</v>
      </c>
      <c r="J221" s="1">
        <v>92</v>
      </c>
      <c r="K221" s="1">
        <v>53</v>
      </c>
      <c r="L221" s="2">
        <v>0.05</v>
      </c>
      <c r="M221" t="s">
        <v>645</v>
      </c>
      <c r="N221" t="str">
        <f t="shared" si="35"/>
        <v>Bank Transfer</v>
      </c>
      <c r="O221" t="s">
        <v>648</v>
      </c>
      <c r="P221" t="str">
        <f t="shared" si="29"/>
        <v>Completed</v>
      </c>
      <c r="Q221" t="str">
        <f t="shared" si="30"/>
        <v>Valid</v>
      </c>
      <c r="R221" t="s">
        <v>672</v>
      </c>
      <c r="S221">
        <f t="shared" si="31"/>
        <v>262.2</v>
      </c>
      <c r="T221">
        <f t="shared" si="32"/>
        <v>159</v>
      </c>
      <c r="U221">
        <f t="shared" si="33"/>
        <v>103.19999999999999</v>
      </c>
      <c r="V221" s="8">
        <f t="shared" si="34"/>
        <v>0.39359267734553771</v>
      </c>
    </row>
    <row r="222" spans="1:22" x14ac:dyDescent="0.3">
      <c r="A222" t="s">
        <v>233</v>
      </c>
      <c r="B222" s="4">
        <v>45704</v>
      </c>
      <c r="C222" t="s">
        <v>570</v>
      </c>
      <c r="D222" t="str">
        <f t="shared" si="27"/>
        <v>Grace Moore</v>
      </c>
      <c r="E222" t="s">
        <v>622</v>
      </c>
      <c r="F222" t="str">
        <f t="shared" si="28"/>
        <v>United Arab Emirates</v>
      </c>
      <c r="G222" t="s">
        <v>635</v>
      </c>
      <c r="H222" t="s">
        <v>639</v>
      </c>
      <c r="I222">
        <v>5</v>
      </c>
      <c r="J222" s="1">
        <v>65</v>
      </c>
      <c r="K222" s="1">
        <v>31</v>
      </c>
      <c r="L222" s="2">
        <v>0.1</v>
      </c>
      <c r="M222" t="s">
        <v>646</v>
      </c>
      <c r="N222" t="str">
        <f t="shared" si="35"/>
        <v>Debit Card</v>
      </c>
      <c r="O222" t="s">
        <v>649</v>
      </c>
      <c r="P222" t="str">
        <f t="shared" si="29"/>
        <v>Pending</v>
      </c>
      <c r="Q222" t="str">
        <f t="shared" si="30"/>
        <v>Valid</v>
      </c>
      <c r="R222" t="s">
        <v>663</v>
      </c>
      <c r="S222">
        <f t="shared" si="31"/>
        <v>292.5</v>
      </c>
      <c r="T222">
        <f t="shared" si="32"/>
        <v>155</v>
      </c>
      <c r="U222">
        <f t="shared" si="33"/>
        <v>137.5</v>
      </c>
      <c r="V222" s="8">
        <f t="shared" si="34"/>
        <v>0.47008547008547008</v>
      </c>
    </row>
    <row r="223" spans="1:22" x14ac:dyDescent="0.3">
      <c r="A223" t="s">
        <v>234</v>
      </c>
      <c r="B223" s="4">
        <v>45854</v>
      </c>
      <c r="C223" t="s">
        <v>584</v>
      </c>
      <c r="D223" t="str">
        <f t="shared" si="27"/>
        <v>James Thompson</v>
      </c>
      <c r="E223" t="s">
        <v>613</v>
      </c>
      <c r="F223" t="str">
        <f t="shared" si="28"/>
        <v>Singapore</v>
      </c>
      <c r="G223" t="s">
        <v>634</v>
      </c>
      <c r="H223" t="s">
        <v>641</v>
      </c>
      <c r="I223">
        <v>5</v>
      </c>
      <c r="J223" s="1">
        <v>59</v>
      </c>
      <c r="K223" s="1">
        <v>30</v>
      </c>
      <c r="L223" s="2">
        <v>0</v>
      </c>
      <c r="M223" t="s">
        <v>645</v>
      </c>
      <c r="N223" t="str">
        <f t="shared" si="35"/>
        <v>Bank Transfer</v>
      </c>
      <c r="O223" t="s">
        <v>648</v>
      </c>
      <c r="P223" t="str">
        <f t="shared" si="29"/>
        <v>Completed</v>
      </c>
      <c r="Q223" t="str">
        <f t="shared" si="30"/>
        <v>Valid</v>
      </c>
      <c r="R223" t="s">
        <v>675</v>
      </c>
      <c r="S223">
        <f t="shared" si="31"/>
        <v>295</v>
      </c>
      <c r="T223">
        <f t="shared" si="32"/>
        <v>150</v>
      </c>
      <c r="U223">
        <f t="shared" si="33"/>
        <v>145</v>
      </c>
      <c r="V223" s="8">
        <f t="shared" si="34"/>
        <v>0.49152542372881358</v>
      </c>
    </row>
    <row r="224" spans="1:22" x14ac:dyDescent="0.3">
      <c r="A224" t="s">
        <v>235</v>
      </c>
      <c r="B224" s="4">
        <v>45827</v>
      </c>
      <c r="C224" t="s">
        <v>595</v>
      </c>
      <c r="D224" t="str">
        <f t="shared" si="27"/>
        <v>Emma Wilson</v>
      </c>
      <c r="E224" t="s">
        <v>608</v>
      </c>
      <c r="F224" t="str">
        <f t="shared" si="28"/>
        <v>India</v>
      </c>
      <c r="G224" t="s">
        <v>628</v>
      </c>
      <c r="H224" t="s">
        <v>639</v>
      </c>
      <c r="I224">
        <v>5</v>
      </c>
      <c r="J224" s="1">
        <v>18</v>
      </c>
      <c r="K224" s="1">
        <v>7</v>
      </c>
      <c r="L224" s="2">
        <v>0.05</v>
      </c>
      <c r="M224" t="s">
        <v>642</v>
      </c>
      <c r="N224" t="s">
        <v>644</v>
      </c>
      <c r="O224" t="s">
        <v>648</v>
      </c>
      <c r="P224" t="str">
        <f t="shared" si="29"/>
        <v>Completed</v>
      </c>
      <c r="Q224" t="str">
        <f t="shared" si="30"/>
        <v>Invalid</v>
      </c>
      <c r="R224" t="s">
        <v>678</v>
      </c>
      <c r="S224">
        <f t="shared" si="31"/>
        <v>85.5</v>
      </c>
      <c r="T224">
        <f t="shared" si="32"/>
        <v>35</v>
      </c>
      <c r="U224">
        <f t="shared" si="33"/>
        <v>50.5</v>
      </c>
      <c r="V224" s="8">
        <f t="shared" si="34"/>
        <v>0.59064327485380119</v>
      </c>
    </row>
    <row r="225" spans="1:22" x14ac:dyDescent="0.3">
      <c r="A225" t="s">
        <v>236</v>
      </c>
      <c r="B225" s="4">
        <v>45956</v>
      </c>
      <c r="C225" t="s">
        <v>572</v>
      </c>
      <c r="D225" t="str">
        <f t="shared" si="27"/>
        <v>Olivia Davis</v>
      </c>
      <c r="E225" t="s">
        <v>607</v>
      </c>
      <c r="F225" t="str">
        <f t="shared" si="28"/>
        <v>Germany</v>
      </c>
      <c r="G225" t="s">
        <v>626</v>
      </c>
      <c r="H225" t="s">
        <v>638</v>
      </c>
      <c r="I225">
        <v>2</v>
      </c>
      <c r="J225" s="1">
        <v>36</v>
      </c>
      <c r="K225" s="1">
        <v>16</v>
      </c>
      <c r="L225" s="2">
        <v>0</v>
      </c>
      <c r="M225" t="s">
        <v>643</v>
      </c>
      <c r="N225" t="str">
        <f t="shared" si="35"/>
        <v>Credit Card</v>
      </c>
      <c r="O225" t="s">
        <v>648</v>
      </c>
      <c r="P225" t="str">
        <f t="shared" si="29"/>
        <v>Completed</v>
      </c>
      <c r="Q225" t="str">
        <f t="shared" si="30"/>
        <v>Valid</v>
      </c>
      <c r="R225" t="s">
        <v>665</v>
      </c>
      <c r="S225">
        <f t="shared" si="31"/>
        <v>72</v>
      </c>
      <c r="T225">
        <f t="shared" si="32"/>
        <v>32</v>
      </c>
      <c r="U225">
        <f t="shared" si="33"/>
        <v>40</v>
      </c>
      <c r="V225" s="8">
        <f t="shared" si="34"/>
        <v>0.55555555555555558</v>
      </c>
    </row>
    <row r="226" spans="1:22" x14ac:dyDescent="0.3">
      <c r="A226" t="s">
        <v>237</v>
      </c>
      <c r="B226" s="4">
        <v>45728</v>
      </c>
      <c r="C226" t="s">
        <v>578</v>
      </c>
      <c r="D226" t="str">
        <f t="shared" si="27"/>
        <v>Ella Martin</v>
      </c>
      <c r="E226" t="s">
        <v>604</v>
      </c>
      <c r="F226" t="str">
        <f t="shared" si="28"/>
        <v>United States</v>
      </c>
      <c r="G226" t="s">
        <v>627</v>
      </c>
      <c r="H226" t="s">
        <v>639</v>
      </c>
      <c r="I226">
        <v>3</v>
      </c>
      <c r="J226" s="1">
        <v>38</v>
      </c>
      <c r="K226" s="1">
        <v>17</v>
      </c>
      <c r="L226" s="2">
        <v>0.1</v>
      </c>
      <c r="M226" t="s">
        <v>647</v>
      </c>
      <c r="N226" t="str">
        <f t="shared" si="35"/>
        <v>Credit Card</v>
      </c>
      <c r="O226" t="s">
        <v>651</v>
      </c>
      <c r="P226" t="str">
        <f t="shared" si="29"/>
        <v>Shipped</v>
      </c>
      <c r="Q226" t="str">
        <f t="shared" si="30"/>
        <v>Valid</v>
      </c>
      <c r="R226" t="s">
        <v>671</v>
      </c>
      <c r="S226">
        <f t="shared" si="31"/>
        <v>102.60000000000001</v>
      </c>
      <c r="T226">
        <f t="shared" si="32"/>
        <v>51</v>
      </c>
      <c r="U226">
        <f t="shared" si="33"/>
        <v>51.600000000000009</v>
      </c>
      <c r="V226" s="8">
        <f t="shared" si="34"/>
        <v>0.50292397660818722</v>
      </c>
    </row>
    <row r="227" spans="1:22" x14ac:dyDescent="0.3">
      <c r="A227" t="s">
        <v>238</v>
      </c>
      <c r="B227" s="4">
        <v>46019</v>
      </c>
      <c r="C227" t="s">
        <v>570</v>
      </c>
      <c r="D227" t="str">
        <f t="shared" si="27"/>
        <v>Grace Moore</v>
      </c>
      <c r="E227" t="s">
        <v>613</v>
      </c>
      <c r="F227" t="str">
        <f t="shared" si="28"/>
        <v>Singapore</v>
      </c>
      <c r="G227" t="s">
        <v>626</v>
      </c>
      <c r="H227" t="s">
        <v>638</v>
      </c>
      <c r="I227">
        <v>2</v>
      </c>
      <c r="J227" s="1">
        <v>36</v>
      </c>
      <c r="K227" s="1">
        <v>16</v>
      </c>
      <c r="L227" s="2">
        <v>0.15</v>
      </c>
      <c r="M227" t="s">
        <v>644</v>
      </c>
      <c r="N227" t="s">
        <v>644</v>
      </c>
      <c r="O227" t="s">
        <v>655</v>
      </c>
      <c r="P227" t="str">
        <f t="shared" si="29"/>
        <v>Shipped</v>
      </c>
      <c r="Q227" t="str">
        <f t="shared" si="30"/>
        <v>Valid</v>
      </c>
      <c r="R227" t="s">
        <v>663</v>
      </c>
      <c r="S227">
        <f t="shared" si="31"/>
        <v>61.199999999999996</v>
      </c>
      <c r="T227">
        <f t="shared" si="32"/>
        <v>32</v>
      </c>
      <c r="U227">
        <f t="shared" si="33"/>
        <v>29.199999999999996</v>
      </c>
      <c r="V227" s="8">
        <f t="shared" si="34"/>
        <v>0.47712418300653592</v>
      </c>
    </row>
    <row r="228" spans="1:22" x14ac:dyDescent="0.3">
      <c r="A228" t="s">
        <v>239</v>
      </c>
      <c r="B228" s="4">
        <v>45964</v>
      </c>
      <c r="C228" t="s">
        <v>572</v>
      </c>
      <c r="D228" t="str">
        <f t="shared" si="27"/>
        <v>Olivia Davis</v>
      </c>
      <c r="E228" t="s">
        <v>625</v>
      </c>
      <c r="F228" t="str">
        <f t="shared" si="28"/>
        <v>United States</v>
      </c>
      <c r="G228" t="s">
        <v>632</v>
      </c>
      <c r="H228" t="s">
        <v>639</v>
      </c>
      <c r="I228">
        <v>3</v>
      </c>
      <c r="J228" s="1">
        <v>42</v>
      </c>
      <c r="K228" s="1">
        <v>21</v>
      </c>
      <c r="L228" s="2">
        <v>0.15</v>
      </c>
      <c r="M228" t="s">
        <v>645</v>
      </c>
      <c r="N228" t="str">
        <f t="shared" si="35"/>
        <v>Bank Transfer</v>
      </c>
      <c r="O228" t="s">
        <v>650</v>
      </c>
      <c r="P228" t="str">
        <f t="shared" si="29"/>
        <v>Cancelled</v>
      </c>
      <c r="Q228" t="str">
        <f t="shared" si="30"/>
        <v>Valid</v>
      </c>
      <c r="R228" t="s">
        <v>665</v>
      </c>
      <c r="S228">
        <f t="shared" si="31"/>
        <v>107.1</v>
      </c>
      <c r="T228">
        <f t="shared" si="32"/>
        <v>63</v>
      </c>
      <c r="U228">
        <f t="shared" si="33"/>
        <v>44.099999999999994</v>
      </c>
      <c r="V228" s="8">
        <f t="shared" si="34"/>
        <v>0.41176470588235292</v>
      </c>
    </row>
    <row r="229" spans="1:22" x14ac:dyDescent="0.3">
      <c r="A229" t="s">
        <v>240</v>
      </c>
      <c r="B229" s="4">
        <v>45865</v>
      </c>
      <c r="C229" t="s">
        <v>578</v>
      </c>
      <c r="D229" t="str">
        <f t="shared" si="27"/>
        <v>Ella Martin</v>
      </c>
      <c r="E229" t="s">
        <v>608</v>
      </c>
      <c r="F229" t="str">
        <f t="shared" si="28"/>
        <v>India</v>
      </c>
      <c r="G229" t="s">
        <v>632</v>
      </c>
      <c r="H229" t="s">
        <v>639</v>
      </c>
      <c r="I229">
        <v>1</v>
      </c>
      <c r="J229" s="1">
        <v>42</v>
      </c>
      <c r="K229" s="1">
        <v>21</v>
      </c>
      <c r="L229" s="2">
        <v>0.1</v>
      </c>
      <c r="M229" t="s">
        <v>646</v>
      </c>
      <c r="N229" t="str">
        <f t="shared" si="35"/>
        <v>Debit Card</v>
      </c>
      <c r="O229" t="s">
        <v>648</v>
      </c>
      <c r="P229" t="str">
        <f t="shared" si="29"/>
        <v>Completed</v>
      </c>
      <c r="Q229" t="str">
        <f t="shared" si="30"/>
        <v>Valid</v>
      </c>
      <c r="R229" t="s">
        <v>671</v>
      </c>
      <c r="S229">
        <f t="shared" si="31"/>
        <v>37.800000000000004</v>
      </c>
      <c r="T229">
        <f t="shared" si="32"/>
        <v>21</v>
      </c>
      <c r="U229">
        <f t="shared" si="33"/>
        <v>16.800000000000004</v>
      </c>
      <c r="V229" s="8">
        <f t="shared" si="34"/>
        <v>0.44444444444444453</v>
      </c>
    </row>
    <row r="230" spans="1:22" x14ac:dyDescent="0.3">
      <c r="A230" t="s">
        <v>241</v>
      </c>
      <c r="B230" s="4">
        <v>45733</v>
      </c>
      <c r="C230" t="s">
        <v>578</v>
      </c>
      <c r="D230" t="str">
        <f t="shared" si="27"/>
        <v>Ella Martin</v>
      </c>
      <c r="E230" t="s">
        <v>608</v>
      </c>
      <c r="F230" t="str">
        <f t="shared" si="28"/>
        <v>India</v>
      </c>
      <c r="G230" t="s">
        <v>635</v>
      </c>
      <c r="H230" t="s">
        <v>639</v>
      </c>
      <c r="I230">
        <v>2</v>
      </c>
      <c r="J230" s="1">
        <v>65</v>
      </c>
      <c r="K230" s="1">
        <v>31</v>
      </c>
      <c r="L230" s="2">
        <v>0.05</v>
      </c>
      <c r="M230" t="s">
        <v>647</v>
      </c>
      <c r="N230" t="str">
        <f t="shared" si="35"/>
        <v>Credit Card</v>
      </c>
      <c r="O230" t="s">
        <v>648</v>
      </c>
      <c r="P230" t="str">
        <f t="shared" si="29"/>
        <v>Completed</v>
      </c>
      <c r="Q230" t="str">
        <f t="shared" si="30"/>
        <v>Valid</v>
      </c>
      <c r="R230" t="s">
        <v>671</v>
      </c>
      <c r="S230">
        <f t="shared" si="31"/>
        <v>123.5</v>
      </c>
      <c r="T230">
        <f t="shared" si="32"/>
        <v>62</v>
      </c>
      <c r="U230">
        <f t="shared" si="33"/>
        <v>61.5</v>
      </c>
      <c r="V230" s="8">
        <f t="shared" si="34"/>
        <v>0.49797570850202427</v>
      </c>
    </row>
    <row r="231" spans="1:22" x14ac:dyDescent="0.3">
      <c r="A231" t="s">
        <v>242</v>
      </c>
      <c r="B231" s="4">
        <v>45971</v>
      </c>
      <c r="C231" t="s">
        <v>569</v>
      </c>
      <c r="D231" t="str">
        <f t="shared" si="27"/>
        <v>Mia White</v>
      </c>
      <c r="E231" t="s">
        <v>599</v>
      </c>
      <c r="F231" t="str">
        <f t="shared" si="28"/>
        <v>United Arab Emirates</v>
      </c>
      <c r="G231" t="s">
        <v>637</v>
      </c>
      <c r="H231" t="s">
        <v>641</v>
      </c>
      <c r="I231">
        <v>5</v>
      </c>
      <c r="J231" s="1">
        <v>175</v>
      </c>
      <c r="K231" s="1">
        <v>105</v>
      </c>
      <c r="L231" s="2">
        <v>0</v>
      </c>
      <c r="M231" t="s">
        <v>647</v>
      </c>
      <c r="N231" t="str">
        <f t="shared" si="35"/>
        <v>Credit Card</v>
      </c>
      <c r="O231" t="s">
        <v>648</v>
      </c>
      <c r="P231" t="str">
        <f t="shared" si="29"/>
        <v>Completed</v>
      </c>
      <c r="Q231" t="str">
        <f t="shared" si="30"/>
        <v>Valid</v>
      </c>
      <c r="R231" t="s">
        <v>662</v>
      </c>
      <c r="S231">
        <f t="shared" si="31"/>
        <v>875</v>
      </c>
      <c r="T231">
        <f t="shared" si="32"/>
        <v>525</v>
      </c>
      <c r="U231">
        <f t="shared" si="33"/>
        <v>350</v>
      </c>
      <c r="V231" s="8">
        <f t="shared" si="34"/>
        <v>0.4</v>
      </c>
    </row>
    <row r="232" spans="1:22" x14ac:dyDescent="0.3">
      <c r="A232" t="s">
        <v>243</v>
      </c>
      <c r="B232" s="4">
        <v>45758</v>
      </c>
      <c r="C232" t="s">
        <v>578</v>
      </c>
      <c r="D232" t="str">
        <f t="shared" si="27"/>
        <v>Ella Martin</v>
      </c>
      <c r="E232" t="s">
        <v>614</v>
      </c>
      <c r="F232" t="str">
        <f t="shared" si="28"/>
        <v>Australia</v>
      </c>
      <c r="G232" t="s">
        <v>628</v>
      </c>
      <c r="H232" t="s">
        <v>639</v>
      </c>
      <c r="I232">
        <v>5</v>
      </c>
      <c r="J232" s="1">
        <v>18</v>
      </c>
      <c r="K232" s="1">
        <v>7</v>
      </c>
      <c r="L232" s="2">
        <v>0</v>
      </c>
      <c r="M232" t="s">
        <v>647</v>
      </c>
      <c r="N232" t="str">
        <f t="shared" si="35"/>
        <v>Credit Card</v>
      </c>
      <c r="O232" t="s">
        <v>650</v>
      </c>
      <c r="P232" t="str">
        <f t="shared" si="29"/>
        <v>Cancelled</v>
      </c>
      <c r="Q232" t="str">
        <f t="shared" si="30"/>
        <v>Valid</v>
      </c>
      <c r="R232" t="s">
        <v>671</v>
      </c>
      <c r="S232">
        <f t="shared" si="31"/>
        <v>90</v>
      </c>
      <c r="T232">
        <f t="shared" si="32"/>
        <v>35</v>
      </c>
      <c r="U232">
        <f t="shared" si="33"/>
        <v>55</v>
      </c>
      <c r="V232" s="8">
        <f t="shared" si="34"/>
        <v>0.61111111111111116</v>
      </c>
    </row>
    <row r="233" spans="1:22" x14ac:dyDescent="0.3">
      <c r="A233" t="s">
        <v>244</v>
      </c>
      <c r="B233" s="4">
        <v>45854</v>
      </c>
      <c r="C233" t="s">
        <v>567</v>
      </c>
      <c r="D233" t="str">
        <f t="shared" si="27"/>
        <v>Sophia Taylor</v>
      </c>
      <c r="E233" t="s">
        <v>620</v>
      </c>
      <c r="F233" t="str">
        <f t="shared" si="28"/>
        <v>India</v>
      </c>
      <c r="G233" t="s">
        <v>629</v>
      </c>
      <c r="H233" t="s">
        <v>640</v>
      </c>
      <c r="I233">
        <v>3</v>
      </c>
      <c r="J233" s="1">
        <v>92</v>
      </c>
      <c r="K233" s="1">
        <v>53</v>
      </c>
      <c r="L233" s="2">
        <v>0</v>
      </c>
      <c r="M233" t="s">
        <v>643</v>
      </c>
      <c r="N233" t="str">
        <f t="shared" si="35"/>
        <v>Credit Card</v>
      </c>
      <c r="O233" t="s">
        <v>650</v>
      </c>
      <c r="P233" t="str">
        <f t="shared" si="29"/>
        <v>Cancelled</v>
      </c>
      <c r="Q233" t="str">
        <f t="shared" si="30"/>
        <v>Valid</v>
      </c>
      <c r="R233" t="s">
        <v>660</v>
      </c>
      <c r="S233">
        <f t="shared" si="31"/>
        <v>276</v>
      </c>
      <c r="T233">
        <f t="shared" si="32"/>
        <v>159</v>
      </c>
      <c r="U233">
        <f t="shared" si="33"/>
        <v>117</v>
      </c>
      <c r="V233" s="8">
        <f t="shared" si="34"/>
        <v>0.42391304347826086</v>
      </c>
    </row>
    <row r="234" spans="1:22" x14ac:dyDescent="0.3">
      <c r="A234" t="s">
        <v>245</v>
      </c>
      <c r="B234" s="4">
        <v>45908</v>
      </c>
      <c r="C234" t="s">
        <v>587</v>
      </c>
      <c r="D234" t="str">
        <f t="shared" si="27"/>
        <v>Henry Clark</v>
      </c>
      <c r="E234" t="s">
        <v>615</v>
      </c>
      <c r="F234" t="str">
        <f t="shared" si="28"/>
        <v>Canada</v>
      </c>
      <c r="G234" t="s">
        <v>634</v>
      </c>
      <c r="H234" t="s">
        <v>641</v>
      </c>
      <c r="I234">
        <v>3</v>
      </c>
      <c r="J234" s="1">
        <v>59</v>
      </c>
      <c r="K234" s="1">
        <v>30</v>
      </c>
      <c r="L234" s="2">
        <v>0</v>
      </c>
      <c r="M234" t="s">
        <v>644</v>
      </c>
      <c r="N234" t="s">
        <v>644</v>
      </c>
      <c r="O234" t="s">
        <v>650</v>
      </c>
      <c r="P234" t="str">
        <f t="shared" si="29"/>
        <v>Cancelled</v>
      </c>
      <c r="Q234" t="str">
        <f t="shared" si="30"/>
        <v>Valid</v>
      </c>
      <c r="R234" t="s">
        <v>664</v>
      </c>
      <c r="S234">
        <f t="shared" si="31"/>
        <v>177</v>
      </c>
      <c r="T234">
        <f t="shared" si="32"/>
        <v>90</v>
      </c>
      <c r="U234">
        <f t="shared" si="33"/>
        <v>87</v>
      </c>
      <c r="V234" s="8">
        <f t="shared" si="34"/>
        <v>0.49152542372881358</v>
      </c>
    </row>
    <row r="235" spans="1:22" x14ac:dyDescent="0.3">
      <c r="A235" t="s">
        <v>246</v>
      </c>
      <c r="B235" s="4">
        <v>45719</v>
      </c>
      <c r="C235" t="s">
        <v>566</v>
      </c>
      <c r="D235" t="str">
        <f t="shared" si="27"/>
        <v>Lily Hall</v>
      </c>
      <c r="E235" t="s">
        <v>601</v>
      </c>
      <c r="F235" t="str">
        <f t="shared" si="28"/>
        <v>United Kingdom</v>
      </c>
      <c r="G235" t="s">
        <v>628</v>
      </c>
      <c r="H235" t="s">
        <v>639</v>
      </c>
      <c r="I235">
        <v>2</v>
      </c>
      <c r="J235" s="1">
        <v>18</v>
      </c>
      <c r="K235" s="1">
        <v>7</v>
      </c>
      <c r="L235" s="2">
        <v>0</v>
      </c>
      <c r="M235" t="s">
        <v>647</v>
      </c>
      <c r="N235" t="str">
        <f t="shared" si="35"/>
        <v>Credit Card</v>
      </c>
      <c r="O235" t="s">
        <v>649</v>
      </c>
      <c r="P235" t="str">
        <f t="shared" si="29"/>
        <v>Pending</v>
      </c>
      <c r="Q235" t="str">
        <f t="shared" si="30"/>
        <v>Valid</v>
      </c>
      <c r="R235" t="s">
        <v>659</v>
      </c>
      <c r="S235">
        <f t="shared" si="31"/>
        <v>36</v>
      </c>
      <c r="T235">
        <f t="shared" si="32"/>
        <v>14</v>
      </c>
      <c r="U235">
        <f t="shared" si="33"/>
        <v>22</v>
      </c>
      <c r="V235" s="8">
        <f t="shared" si="34"/>
        <v>0.61111111111111116</v>
      </c>
    </row>
    <row r="236" spans="1:22" x14ac:dyDescent="0.3">
      <c r="A236" t="s">
        <v>247</v>
      </c>
      <c r="B236" s="4">
        <v>46009</v>
      </c>
      <c r="C236" t="s">
        <v>580</v>
      </c>
      <c r="D236" t="str">
        <f t="shared" si="27"/>
        <v>Benjamin Walker</v>
      </c>
      <c r="E236" t="s">
        <v>608</v>
      </c>
      <c r="F236" t="str">
        <f t="shared" si="28"/>
        <v>India</v>
      </c>
      <c r="G236" t="s">
        <v>629</v>
      </c>
      <c r="H236" t="s">
        <v>640</v>
      </c>
      <c r="I236">
        <v>4</v>
      </c>
      <c r="J236" s="1">
        <v>92</v>
      </c>
      <c r="K236" s="1">
        <v>53</v>
      </c>
      <c r="L236" s="2">
        <v>0</v>
      </c>
      <c r="M236" t="s">
        <v>642</v>
      </c>
      <c r="N236" t="s">
        <v>644</v>
      </c>
      <c r="O236" t="s">
        <v>648</v>
      </c>
      <c r="P236" t="str">
        <f t="shared" si="29"/>
        <v>Completed</v>
      </c>
      <c r="Q236" t="str">
        <f t="shared" si="30"/>
        <v>Valid</v>
      </c>
      <c r="R236" t="s">
        <v>672</v>
      </c>
      <c r="S236">
        <f t="shared" si="31"/>
        <v>368</v>
      </c>
      <c r="T236">
        <f t="shared" si="32"/>
        <v>212</v>
      </c>
      <c r="U236">
        <f t="shared" si="33"/>
        <v>156</v>
      </c>
      <c r="V236" s="8">
        <f t="shared" si="34"/>
        <v>0.42391304347826086</v>
      </c>
    </row>
    <row r="237" spans="1:22" x14ac:dyDescent="0.3">
      <c r="A237" t="s">
        <v>248</v>
      </c>
      <c r="B237" s="4">
        <v>45951</v>
      </c>
      <c r="C237" t="s">
        <v>584</v>
      </c>
      <c r="D237" t="str">
        <f t="shared" si="27"/>
        <v>James Thompson</v>
      </c>
      <c r="E237" t="s">
        <v>615</v>
      </c>
      <c r="F237" t="str">
        <f t="shared" si="28"/>
        <v>Canada</v>
      </c>
      <c r="G237" t="s">
        <v>637</v>
      </c>
      <c r="H237" t="s">
        <v>641</v>
      </c>
      <c r="I237">
        <v>3</v>
      </c>
      <c r="J237" s="1">
        <v>175</v>
      </c>
      <c r="K237" s="1">
        <v>105</v>
      </c>
      <c r="L237" s="2">
        <v>0.05</v>
      </c>
      <c r="M237" t="s">
        <v>645</v>
      </c>
      <c r="N237" t="str">
        <f t="shared" si="35"/>
        <v>Bank Transfer</v>
      </c>
      <c r="O237" t="s">
        <v>648</v>
      </c>
      <c r="P237" t="str">
        <f t="shared" si="29"/>
        <v>Completed</v>
      </c>
      <c r="Q237" t="str">
        <f t="shared" si="30"/>
        <v>Valid</v>
      </c>
      <c r="R237" t="s">
        <v>675</v>
      </c>
      <c r="S237">
        <f t="shared" si="31"/>
        <v>498.75</v>
      </c>
      <c r="T237">
        <f t="shared" si="32"/>
        <v>315</v>
      </c>
      <c r="U237">
        <f t="shared" si="33"/>
        <v>183.75</v>
      </c>
      <c r="V237" s="8">
        <f t="shared" si="34"/>
        <v>0.36842105263157893</v>
      </c>
    </row>
    <row r="238" spans="1:22" x14ac:dyDescent="0.3">
      <c r="A238" t="s">
        <v>249</v>
      </c>
      <c r="B238" s="4">
        <v>46003</v>
      </c>
      <c r="C238" t="s">
        <v>596</v>
      </c>
      <c r="D238" t="str">
        <f t="shared" si="27"/>
        <v>Chloe Lewis</v>
      </c>
      <c r="E238" t="s">
        <v>619</v>
      </c>
      <c r="F238" t="str">
        <f t="shared" si="28"/>
        <v>India</v>
      </c>
      <c r="G238" t="s">
        <v>627</v>
      </c>
      <c r="H238" t="s">
        <v>639</v>
      </c>
      <c r="I238">
        <v>3</v>
      </c>
      <c r="J238" s="1">
        <v>38</v>
      </c>
      <c r="K238" s="1">
        <v>17</v>
      </c>
      <c r="L238" s="2">
        <v>0</v>
      </c>
      <c r="M238" t="s">
        <v>643</v>
      </c>
      <c r="N238" t="str">
        <f t="shared" si="35"/>
        <v>Credit Card</v>
      </c>
      <c r="O238" t="s">
        <v>651</v>
      </c>
      <c r="P238" t="str">
        <f t="shared" si="29"/>
        <v>Shipped</v>
      </c>
      <c r="Q238" t="str">
        <f t="shared" si="30"/>
        <v>Valid</v>
      </c>
      <c r="R238" t="s">
        <v>669</v>
      </c>
      <c r="S238">
        <f t="shared" si="31"/>
        <v>114</v>
      </c>
      <c r="T238">
        <f t="shared" si="32"/>
        <v>51</v>
      </c>
      <c r="U238">
        <f t="shared" si="33"/>
        <v>63</v>
      </c>
      <c r="V238" s="8">
        <f t="shared" si="34"/>
        <v>0.55263157894736847</v>
      </c>
    </row>
    <row r="239" spans="1:22" x14ac:dyDescent="0.3">
      <c r="A239" t="s">
        <v>250</v>
      </c>
      <c r="B239" s="4">
        <v>45988</v>
      </c>
      <c r="C239" t="s">
        <v>580</v>
      </c>
      <c r="D239" t="str">
        <f t="shared" si="27"/>
        <v>Benjamin Walker</v>
      </c>
      <c r="E239" t="s">
        <v>609</v>
      </c>
      <c r="F239" t="str">
        <f t="shared" si="28"/>
        <v>Singapore</v>
      </c>
      <c r="G239" t="s">
        <v>635</v>
      </c>
      <c r="H239" t="s">
        <v>639</v>
      </c>
      <c r="I239">
        <v>5</v>
      </c>
      <c r="J239" s="1">
        <v>65</v>
      </c>
      <c r="K239" s="1">
        <v>31</v>
      </c>
      <c r="L239" s="2">
        <v>0</v>
      </c>
      <c r="M239" t="s">
        <v>645</v>
      </c>
      <c r="N239" t="str">
        <f t="shared" si="35"/>
        <v>Bank Transfer</v>
      </c>
      <c r="O239" t="s">
        <v>648</v>
      </c>
      <c r="P239" t="str">
        <f t="shared" si="29"/>
        <v>Completed</v>
      </c>
      <c r="Q239" t="str">
        <f t="shared" si="30"/>
        <v>Valid</v>
      </c>
      <c r="R239" t="s">
        <v>672</v>
      </c>
      <c r="S239">
        <f t="shared" si="31"/>
        <v>325</v>
      </c>
      <c r="T239">
        <f t="shared" si="32"/>
        <v>155</v>
      </c>
      <c r="U239">
        <f t="shared" si="33"/>
        <v>170</v>
      </c>
      <c r="V239" s="8">
        <f t="shared" si="34"/>
        <v>0.52307692307692311</v>
      </c>
    </row>
    <row r="240" spans="1:22" x14ac:dyDescent="0.3">
      <c r="A240" t="s">
        <v>251</v>
      </c>
      <c r="B240" s="4">
        <v>45765</v>
      </c>
      <c r="C240" t="s">
        <v>575</v>
      </c>
      <c r="D240" t="str">
        <f t="shared" si="27"/>
        <v>Lucas Jackson</v>
      </c>
      <c r="E240" t="s">
        <v>606</v>
      </c>
      <c r="F240" t="str">
        <f t="shared" si="28"/>
        <v>Canada</v>
      </c>
      <c r="G240" t="s">
        <v>637</v>
      </c>
      <c r="H240" t="s">
        <v>641</v>
      </c>
      <c r="I240">
        <v>5</v>
      </c>
      <c r="J240" s="1">
        <v>175</v>
      </c>
      <c r="K240" s="1">
        <v>105</v>
      </c>
      <c r="L240" s="2">
        <v>0.15</v>
      </c>
      <c r="M240" t="s">
        <v>646</v>
      </c>
      <c r="N240" t="str">
        <f t="shared" si="35"/>
        <v>Debit Card</v>
      </c>
      <c r="O240" t="s">
        <v>648</v>
      </c>
      <c r="P240" t="str">
        <f t="shared" si="29"/>
        <v>Completed</v>
      </c>
      <c r="Q240" t="str">
        <f t="shared" si="30"/>
        <v>Valid</v>
      </c>
      <c r="R240" t="s">
        <v>668</v>
      </c>
      <c r="S240">
        <f t="shared" si="31"/>
        <v>743.75</v>
      </c>
      <c r="T240">
        <f t="shared" si="32"/>
        <v>525</v>
      </c>
      <c r="U240">
        <f t="shared" si="33"/>
        <v>218.75</v>
      </c>
      <c r="V240" s="8">
        <f t="shared" si="34"/>
        <v>0.29411764705882354</v>
      </c>
    </row>
    <row r="241" spans="1:22" x14ac:dyDescent="0.3">
      <c r="A241" t="s">
        <v>252</v>
      </c>
      <c r="B241" s="4">
        <v>45921</v>
      </c>
      <c r="C241" t="s">
        <v>577</v>
      </c>
      <c r="D241" t="str">
        <f t="shared" si="27"/>
        <v>Emma Wilson</v>
      </c>
      <c r="E241" t="s">
        <v>610</v>
      </c>
      <c r="F241" t="str">
        <f t="shared" si="28"/>
        <v>United Arab Emirates</v>
      </c>
      <c r="G241" t="s">
        <v>626</v>
      </c>
      <c r="H241" t="s">
        <v>638</v>
      </c>
      <c r="I241">
        <v>2</v>
      </c>
      <c r="J241" s="1">
        <v>36</v>
      </c>
      <c r="K241" s="1">
        <v>16</v>
      </c>
      <c r="L241" s="2">
        <v>0.05</v>
      </c>
      <c r="M241" t="s">
        <v>642</v>
      </c>
      <c r="N241" t="s">
        <v>644</v>
      </c>
      <c r="O241" t="s">
        <v>648</v>
      </c>
      <c r="P241" t="str">
        <f t="shared" si="29"/>
        <v>Completed</v>
      </c>
      <c r="Q241" t="str">
        <f t="shared" si="30"/>
        <v>Valid</v>
      </c>
      <c r="R241" t="s">
        <v>670</v>
      </c>
      <c r="S241">
        <f t="shared" si="31"/>
        <v>68.399999999999991</v>
      </c>
      <c r="T241">
        <f t="shared" si="32"/>
        <v>32</v>
      </c>
      <c r="U241">
        <f t="shared" si="33"/>
        <v>36.399999999999991</v>
      </c>
      <c r="V241" s="8">
        <f t="shared" si="34"/>
        <v>0.53216374269005839</v>
      </c>
    </row>
    <row r="242" spans="1:22" x14ac:dyDescent="0.3">
      <c r="A242" t="s">
        <v>253</v>
      </c>
      <c r="B242" s="4">
        <v>45760</v>
      </c>
      <c r="C242" t="s">
        <v>577</v>
      </c>
      <c r="D242" t="str">
        <f t="shared" si="27"/>
        <v>Emma Wilson</v>
      </c>
      <c r="E242" t="s">
        <v>605</v>
      </c>
      <c r="F242" t="str">
        <f t="shared" si="28"/>
        <v>Singapore</v>
      </c>
      <c r="G242" t="s">
        <v>637</v>
      </c>
      <c r="H242" t="s">
        <v>641</v>
      </c>
      <c r="I242">
        <v>5</v>
      </c>
      <c r="J242" s="1">
        <v>175</v>
      </c>
      <c r="K242" s="1">
        <v>105</v>
      </c>
      <c r="L242" s="2">
        <v>0.05</v>
      </c>
      <c r="M242" t="s">
        <v>646</v>
      </c>
      <c r="N242" t="str">
        <f t="shared" si="35"/>
        <v>Debit Card</v>
      </c>
      <c r="O242" t="s">
        <v>649</v>
      </c>
      <c r="P242" t="str">
        <f t="shared" si="29"/>
        <v>Pending</v>
      </c>
      <c r="Q242" t="str">
        <f t="shared" si="30"/>
        <v>Valid</v>
      </c>
      <c r="R242" t="s">
        <v>670</v>
      </c>
      <c r="S242">
        <f t="shared" si="31"/>
        <v>831.25</v>
      </c>
      <c r="T242">
        <f t="shared" si="32"/>
        <v>525</v>
      </c>
      <c r="U242">
        <f t="shared" si="33"/>
        <v>306.25</v>
      </c>
      <c r="V242" s="8">
        <f t="shared" si="34"/>
        <v>0.36842105263157893</v>
      </c>
    </row>
    <row r="243" spans="1:22" x14ac:dyDescent="0.3">
      <c r="A243" t="s">
        <v>254</v>
      </c>
      <c r="B243" s="4">
        <v>45811</v>
      </c>
      <c r="C243" t="s">
        <v>567</v>
      </c>
      <c r="D243" t="str">
        <f t="shared" si="27"/>
        <v>Sophia Taylor</v>
      </c>
      <c r="E243" t="s">
        <v>623</v>
      </c>
      <c r="F243" t="str">
        <f t="shared" si="28"/>
        <v>United States</v>
      </c>
      <c r="G243" t="s">
        <v>634</v>
      </c>
      <c r="H243" t="s">
        <v>641</v>
      </c>
      <c r="I243">
        <v>2</v>
      </c>
      <c r="J243" s="1">
        <v>59</v>
      </c>
      <c r="K243" s="1">
        <v>30</v>
      </c>
      <c r="L243" s="2">
        <v>0.05</v>
      </c>
      <c r="M243" t="s">
        <v>646</v>
      </c>
      <c r="N243" t="str">
        <f t="shared" si="35"/>
        <v>Debit Card</v>
      </c>
      <c r="O243" t="s">
        <v>649</v>
      </c>
      <c r="P243" t="str">
        <f t="shared" si="29"/>
        <v>Pending</v>
      </c>
      <c r="Q243" t="str">
        <f t="shared" si="30"/>
        <v>Valid</v>
      </c>
      <c r="R243" t="s">
        <v>660</v>
      </c>
      <c r="S243">
        <f t="shared" si="31"/>
        <v>112.1</v>
      </c>
      <c r="T243">
        <f t="shared" si="32"/>
        <v>60</v>
      </c>
      <c r="U243">
        <f t="shared" si="33"/>
        <v>52.099999999999994</v>
      </c>
      <c r="V243" s="8">
        <f t="shared" si="34"/>
        <v>0.46476360392506688</v>
      </c>
    </row>
    <row r="244" spans="1:22" x14ac:dyDescent="0.3">
      <c r="A244" t="s">
        <v>255</v>
      </c>
      <c r="B244" s="4">
        <v>45853</v>
      </c>
      <c r="C244" t="s">
        <v>564</v>
      </c>
      <c r="D244" t="str">
        <f t="shared" si="27"/>
        <v>Ava Thomas</v>
      </c>
      <c r="E244" t="s">
        <v>615</v>
      </c>
      <c r="F244" t="str">
        <f t="shared" si="28"/>
        <v>Canada</v>
      </c>
      <c r="G244" t="s">
        <v>631</v>
      </c>
      <c r="H244" t="s">
        <v>641</v>
      </c>
      <c r="I244">
        <v>1</v>
      </c>
      <c r="J244" s="1">
        <v>85</v>
      </c>
      <c r="K244" s="1">
        <v>44</v>
      </c>
      <c r="L244" s="2">
        <v>0.2</v>
      </c>
      <c r="M244" t="s">
        <v>645</v>
      </c>
      <c r="N244" t="str">
        <f t="shared" si="35"/>
        <v>Bank Transfer</v>
      </c>
      <c r="O244" t="s">
        <v>648</v>
      </c>
      <c r="P244" t="str">
        <f t="shared" si="29"/>
        <v>Completed</v>
      </c>
      <c r="Q244" t="str">
        <f t="shared" si="30"/>
        <v>Valid</v>
      </c>
      <c r="R244" t="s">
        <v>657</v>
      </c>
      <c r="S244">
        <f t="shared" si="31"/>
        <v>68</v>
      </c>
      <c r="T244">
        <f t="shared" si="32"/>
        <v>44</v>
      </c>
      <c r="U244">
        <f t="shared" si="33"/>
        <v>24</v>
      </c>
      <c r="V244" s="8">
        <f t="shared" si="34"/>
        <v>0.35294117647058826</v>
      </c>
    </row>
    <row r="245" spans="1:22" x14ac:dyDescent="0.3">
      <c r="A245" t="s">
        <v>256</v>
      </c>
      <c r="B245" s="4">
        <v>45720</v>
      </c>
      <c r="C245" t="s">
        <v>564</v>
      </c>
      <c r="D245" t="str">
        <f t="shared" si="27"/>
        <v>Ava Thomas</v>
      </c>
      <c r="E245" t="s">
        <v>605</v>
      </c>
      <c r="F245" t="str">
        <f t="shared" si="28"/>
        <v>Singapore</v>
      </c>
      <c r="G245" t="s">
        <v>629</v>
      </c>
      <c r="H245" t="s">
        <v>640</v>
      </c>
      <c r="I245">
        <v>4</v>
      </c>
      <c r="J245" s="1">
        <v>92</v>
      </c>
      <c r="K245" s="1">
        <v>53</v>
      </c>
      <c r="L245" s="2">
        <v>0</v>
      </c>
      <c r="M245" t="s">
        <v>643</v>
      </c>
      <c r="N245" t="str">
        <f t="shared" si="35"/>
        <v>Credit Card</v>
      </c>
      <c r="O245" t="s">
        <v>649</v>
      </c>
      <c r="P245" t="str">
        <f t="shared" si="29"/>
        <v>Pending</v>
      </c>
      <c r="Q245" t="str">
        <f t="shared" si="30"/>
        <v>Valid</v>
      </c>
      <c r="R245" t="s">
        <v>657</v>
      </c>
      <c r="S245">
        <f t="shared" si="31"/>
        <v>368</v>
      </c>
      <c r="T245">
        <f t="shared" si="32"/>
        <v>212</v>
      </c>
      <c r="U245">
        <f t="shared" si="33"/>
        <v>156</v>
      </c>
      <c r="V245" s="8">
        <f t="shared" si="34"/>
        <v>0.42391304347826086</v>
      </c>
    </row>
    <row r="246" spans="1:22" x14ac:dyDescent="0.3">
      <c r="A246" t="s">
        <v>257</v>
      </c>
      <c r="B246" s="4">
        <v>46007</v>
      </c>
      <c r="C246" t="s">
        <v>576</v>
      </c>
      <c r="D246" t="str">
        <f t="shared" si="27"/>
        <v>Chloe Lewis</v>
      </c>
      <c r="E246" t="s">
        <v>613</v>
      </c>
      <c r="F246" t="str">
        <f t="shared" si="28"/>
        <v>Singapore</v>
      </c>
      <c r="G246" t="s">
        <v>634</v>
      </c>
      <c r="H246" t="s">
        <v>641</v>
      </c>
      <c r="I246">
        <v>4</v>
      </c>
      <c r="J246" s="1">
        <v>59</v>
      </c>
      <c r="K246" s="1">
        <v>30</v>
      </c>
      <c r="L246" s="2">
        <v>0.05</v>
      </c>
      <c r="M246" t="s">
        <v>647</v>
      </c>
      <c r="N246" t="str">
        <f t="shared" si="35"/>
        <v>Credit Card</v>
      </c>
      <c r="O246" t="s">
        <v>648</v>
      </c>
      <c r="P246" t="str">
        <f t="shared" si="29"/>
        <v>Completed</v>
      </c>
      <c r="Q246" t="str">
        <f t="shared" si="30"/>
        <v>Valid</v>
      </c>
      <c r="R246" t="s">
        <v>669</v>
      </c>
      <c r="S246">
        <f t="shared" si="31"/>
        <v>224.2</v>
      </c>
      <c r="T246">
        <f t="shared" si="32"/>
        <v>120</v>
      </c>
      <c r="U246">
        <f t="shared" si="33"/>
        <v>104.19999999999999</v>
      </c>
      <c r="V246" s="8">
        <f t="shared" si="34"/>
        <v>0.46476360392506688</v>
      </c>
    </row>
    <row r="247" spans="1:22" x14ac:dyDescent="0.3">
      <c r="A247" t="s">
        <v>258</v>
      </c>
      <c r="B247" s="4">
        <v>45984</v>
      </c>
      <c r="C247" t="s">
        <v>572</v>
      </c>
      <c r="D247" t="str">
        <f t="shared" si="27"/>
        <v>Olivia Davis</v>
      </c>
      <c r="E247" t="s">
        <v>605</v>
      </c>
      <c r="F247" t="str">
        <f t="shared" si="28"/>
        <v>Singapore</v>
      </c>
      <c r="G247" t="s">
        <v>634</v>
      </c>
      <c r="H247" t="s">
        <v>641</v>
      </c>
      <c r="I247">
        <v>5</v>
      </c>
      <c r="J247" s="1">
        <v>59</v>
      </c>
      <c r="K247" s="1">
        <v>30</v>
      </c>
      <c r="L247" s="2">
        <v>0.05</v>
      </c>
      <c r="M247" t="s">
        <v>645</v>
      </c>
      <c r="N247" t="str">
        <f t="shared" si="35"/>
        <v>Bank Transfer</v>
      </c>
      <c r="O247" t="s">
        <v>648</v>
      </c>
      <c r="P247" t="str">
        <f t="shared" si="29"/>
        <v>Completed</v>
      </c>
      <c r="Q247" t="str">
        <f t="shared" si="30"/>
        <v>Valid</v>
      </c>
      <c r="R247" t="s">
        <v>665</v>
      </c>
      <c r="S247">
        <f t="shared" si="31"/>
        <v>280.25</v>
      </c>
      <c r="T247">
        <f t="shared" si="32"/>
        <v>150</v>
      </c>
      <c r="U247">
        <f t="shared" si="33"/>
        <v>130.25</v>
      </c>
      <c r="V247" s="8">
        <f t="shared" si="34"/>
        <v>0.46476360392506688</v>
      </c>
    </row>
    <row r="248" spans="1:22" x14ac:dyDescent="0.3">
      <c r="A248" t="s">
        <v>259</v>
      </c>
      <c r="B248" s="4">
        <v>46006</v>
      </c>
      <c r="C248" t="s">
        <v>571</v>
      </c>
      <c r="D248" t="str">
        <f t="shared" si="27"/>
        <v>Henry Clark</v>
      </c>
      <c r="E248" t="s">
        <v>623</v>
      </c>
      <c r="F248" t="str">
        <f t="shared" si="28"/>
        <v>United States</v>
      </c>
      <c r="G248" t="s">
        <v>627</v>
      </c>
      <c r="H248" t="s">
        <v>639</v>
      </c>
      <c r="I248">
        <v>5</v>
      </c>
      <c r="J248" s="1">
        <v>38</v>
      </c>
      <c r="K248" s="1">
        <v>17</v>
      </c>
      <c r="L248" s="2">
        <v>0.2</v>
      </c>
      <c r="M248" t="s">
        <v>644</v>
      </c>
      <c r="N248" t="s">
        <v>644</v>
      </c>
      <c r="O248" t="s">
        <v>648</v>
      </c>
      <c r="P248" t="str">
        <f t="shared" si="29"/>
        <v>Completed</v>
      </c>
      <c r="Q248" t="str">
        <f t="shared" si="30"/>
        <v>Valid</v>
      </c>
      <c r="R248" t="s">
        <v>664</v>
      </c>
      <c r="S248">
        <f t="shared" si="31"/>
        <v>152</v>
      </c>
      <c r="T248">
        <f t="shared" si="32"/>
        <v>85</v>
      </c>
      <c r="U248">
        <f t="shared" si="33"/>
        <v>67</v>
      </c>
      <c r="V248" s="8">
        <f t="shared" si="34"/>
        <v>0.44078947368421051</v>
      </c>
    </row>
    <row r="249" spans="1:22" x14ac:dyDescent="0.3">
      <c r="A249" t="s">
        <v>260</v>
      </c>
      <c r="B249" s="4">
        <v>45795</v>
      </c>
      <c r="C249" t="s">
        <v>577</v>
      </c>
      <c r="D249" t="str">
        <f t="shared" si="27"/>
        <v>Emma Wilson</v>
      </c>
      <c r="E249" t="s">
        <v>623</v>
      </c>
      <c r="F249" t="str">
        <f t="shared" si="28"/>
        <v>United States</v>
      </c>
      <c r="G249" t="s">
        <v>632</v>
      </c>
      <c r="H249" t="s">
        <v>639</v>
      </c>
      <c r="I249">
        <v>5</v>
      </c>
      <c r="J249" s="1">
        <v>42</v>
      </c>
      <c r="K249" s="1">
        <v>21</v>
      </c>
      <c r="L249" s="2">
        <v>0.15</v>
      </c>
      <c r="M249" t="s">
        <v>644</v>
      </c>
      <c r="N249" t="s">
        <v>644</v>
      </c>
      <c r="O249" t="s">
        <v>648</v>
      </c>
      <c r="P249" t="str">
        <f t="shared" si="29"/>
        <v>Completed</v>
      </c>
      <c r="Q249" t="str">
        <f t="shared" si="30"/>
        <v>Valid</v>
      </c>
      <c r="R249" t="s">
        <v>670</v>
      </c>
      <c r="S249">
        <f t="shared" si="31"/>
        <v>178.5</v>
      </c>
      <c r="T249">
        <f t="shared" si="32"/>
        <v>105</v>
      </c>
      <c r="U249">
        <f t="shared" si="33"/>
        <v>73.5</v>
      </c>
      <c r="V249" s="8">
        <f t="shared" si="34"/>
        <v>0.41176470588235292</v>
      </c>
    </row>
    <row r="250" spans="1:22" x14ac:dyDescent="0.3">
      <c r="A250" t="s">
        <v>261</v>
      </c>
      <c r="B250" s="4">
        <v>46005</v>
      </c>
      <c r="C250" t="s">
        <v>572</v>
      </c>
      <c r="D250" t="str">
        <f t="shared" si="27"/>
        <v>Olivia Davis</v>
      </c>
      <c r="E250" t="s">
        <v>608</v>
      </c>
      <c r="F250" t="str">
        <f t="shared" si="28"/>
        <v>India</v>
      </c>
      <c r="G250" t="s">
        <v>631</v>
      </c>
      <c r="H250" t="s">
        <v>641</v>
      </c>
      <c r="I250">
        <v>5</v>
      </c>
      <c r="J250" s="1">
        <v>85</v>
      </c>
      <c r="K250" s="1">
        <v>44</v>
      </c>
      <c r="L250" s="2">
        <v>0.1</v>
      </c>
      <c r="N250" t="s">
        <v>717</v>
      </c>
      <c r="O250" t="s">
        <v>651</v>
      </c>
      <c r="P250" t="str">
        <f t="shared" si="29"/>
        <v>Shipped</v>
      </c>
      <c r="Q250" t="str">
        <f t="shared" si="30"/>
        <v>Valid</v>
      </c>
      <c r="R250" t="s">
        <v>665</v>
      </c>
      <c r="S250">
        <f t="shared" si="31"/>
        <v>382.5</v>
      </c>
      <c r="T250">
        <f t="shared" si="32"/>
        <v>220</v>
      </c>
      <c r="U250">
        <f t="shared" si="33"/>
        <v>162.5</v>
      </c>
      <c r="V250" s="8">
        <f t="shared" si="34"/>
        <v>0.42483660130718953</v>
      </c>
    </row>
    <row r="251" spans="1:22" x14ac:dyDescent="0.3">
      <c r="A251" t="s">
        <v>262</v>
      </c>
      <c r="B251" s="4">
        <v>45947</v>
      </c>
      <c r="C251" t="s">
        <v>588</v>
      </c>
      <c r="D251" t="str">
        <f t="shared" si="27"/>
        <v>Liam Miller</v>
      </c>
      <c r="E251" t="s">
        <v>605</v>
      </c>
      <c r="F251" t="str">
        <f t="shared" si="28"/>
        <v>Singapore</v>
      </c>
      <c r="G251" t="s">
        <v>627</v>
      </c>
      <c r="H251" t="s">
        <v>639</v>
      </c>
      <c r="I251">
        <v>1</v>
      </c>
      <c r="J251" s="1">
        <v>38</v>
      </c>
      <c r="K251" s="1">
        <v>17</v>
      </c>
      <c r="L251" s="2">
        <v>0</v>
      </c>
      <c r="M251" t="s">
        <v>643</v>
      </c>
      <c r="N251" t="str">
        <f t="shared" si="35"/>
        <v>Credit Card</v>
      </c>
      <c r="O251" t="s">
        <v>648</v>
      </c>
      <c r="P251" t="str">
        <f t="shared" si="29"/>
        <v>Completed</v>
      </c>
      <c r="Q251" t="str">
        <f t="shared" si="30"/>
        <v>Valid</v>
      </c>
      <c r="R251" t="s">
        <v>656</v>
      </c>
      <c r="S251">
        <f t="shared" si="31"/>
        <v>38</v>
      </c>
      <c r="T251">
        <f t="shared" si="32"/>
        <v>17</v>
      </c>
      <c r="U251">
        <f t="shared" si="33"/>
        <v>21</v>
      </c>
      <c r="V251" s="8">
        <f t="shared" si="34"/>
        <v>0.55263157894736847</v>
      </c>
    </row>
    <row r="252" spans="1:22" x14ac:dyDescent="0.3">
      <c r="A252" t="s">
        <v>263</v>
      </c>
      <c r="B252" s="4">
        <v>45745</v>
      </c>
      <c r="C252" t="s">
        <v>571</v>
      </c>
      <c r="D252" t="str">
        <f t="shared" si="27"/>
        <v>Henry Clark</v>
      </c>
      <c r="E252" t="s">
        <v>613</v>
      </c>
      <c r="F252" t="str">
        <f t="shared" si="28"/>
        <v>Singapore</v>
      </c>
      <c r="G252" t="s">
        <v>634</v>
      </c>
      <c r="H252" t="s">
        <v>641</v>
      </c>
      <c r="I252">
        <v>4</v>
      </c>
      <c r="J252" s="1">
        <v>59</v>
      </c>
      <c r="K252" s="1">
        <v>30</v>
      </c>
      <c r="L252" s="2">
        <v>0.1</v>
      </c>
      <c r="M252" t="s">
        <v>643</v>
      </c>
      <c r="N252" t="str">
        <f t="shared" si="35"/>
        <v>Credit Card</v>
      </c>
      <c r="O252" t="s">
        <v>651</v>
      </c>
      <c r="P252" t="str">
        <f t="shared" si="29"/>
        <v>Shipped</v>
      </c>
      <c r="Q252" t="str">
        <f t="shared" si="30"/>
        <v>Valid</v>
      </c>
      <c r="R252" t="s">
        <v>664</v>
      </c>
      <c r="S252">
        <f t="shared" si="31"/>
        <v>212.4</v>
      </c>
      <c r="T252">
        <f t="shared" si="32"/>
        <v>120</v>
      </c>
      <c r="U252">
        <f t="shared" si="33"/>
        <v>92.4</v>
      </c>
      <c r="V252" s="8">
        <f t="shared" si="34"/>
        <v>0.43502824858757061</v>
      </c>
    </row>
    <row r="253" spans="1:22" x14ac:dyDescent="0.3">
      <c r="A253" t="s">
        <v>264</v>
      </c>
      <c r="B253" s="4">
        <v>45658</v>
      </c>
      <c r="C253" t="s">
        <v>570</v>
      </c>
      <c r="D253" t="str">
        <f t="shared" si="27"/>
        <v>Grace Moore</v>
      </c>
      <c r="E253" t="s">
        <v>623</v>
      </c>
      <c r="F253" t="str">
        <f t="shared" si="28"/>
        <v>United States</v>
      </c>
      <c r="G253" t="s">
        <v>636</v>
      </c>
      <c r="H253" t="s">
        <v>641</v>
      </c>
      <c r="I253">
        <v>4</v>
      </c>
      <c r="J253" s="1">
        <v>245</v>
      </c>
      <c r="K253" s="1">
        <v>150</v>
      </c>
      <c r="L253" s="2">
        <v>0</v>
      </c>
      <c r="M253" t="s">
        <v>642</v>
      </c>
      <c r="N253" t="s">
        <v>644</v>
      </c>
      <c r="O253" t="s">
        <v>648</v>
      </c>
      <c r="P253" t="str">
        <f t="shared" si="29"/>
        <v>Completed</v>
      </c>
      <c r="Q253" t="str">
        <f t="shared" si="30"/>
        <v>Valid</v>
      </c>
      <c r="R253" t="s">
        <v>663</v>
      </c>
      <c r="S253">
        <f t="shared" si="31"/>
        <v>980</v>
      </c>
      <c r="T253">
        <f t="shared" si="32"/>
        <v>600</v>
      </c>
      <c r="U253">
        <f t="shared" si="33"/>
        <v>380</v>
      </c>
      <c r="V253" s="8">
        <f t="shared" si="34"/>
        <v>0.38775510204081631</v>
      </c>
    </row>
    <row r="254" spans="1:22" x14ac:dyDescent="0.3">
      <c r="A254" t="s">
        <v>265</v>
      </c>
      <c r="B254" s="4">
        <v>45737</v>
      </c>
      <c r="C254" t="s">
        <v>570</v>
      </c>
      <c r="D254" t="str">
        <f t="shared" si="27"/>
        <v>Grace Moore</v>
      </c>
      <c r="E254" t="s">
        <v>603</v>
      </c>
      <c r="F254" t="str">
        <f t="shared" si="28"/>
        <v>Germany</v>
      </c>
      <c r="G254" t="s">
        <v>632</v>
      </c>
      <c r="H254" t="s">
        <v>639</v>
      </c>
      <c r="I254">
        <v>1</v>
      </c>
      <c r="J254" s="1">
        <v>42</v>
      </c>
      <c r="K254" s="1">
        <v>21</v>
      </c>
      <c r="L254" s="2">
        <v>0.1</v>
      </c>
      <c r="M254" t="s">
        <v>647</v>
      </c>
      <c r="N254" t="str">
        <f t="shared" si="35"/>
        <v>Credit Card</v>
      </c>
      <c r="O254" t="s">
        <v>651</v>
      </c>
      <c r="P254" t="str">
        <f t="shared" si="29"/>
        <v>Shipped</v>
      </c>
      <c r="Q254" t="str">
        <f t="shared" si="30"/>
        <v>Valid</v>
      </c>
      <c r="R254" t="s">
        <v>663</v>
      </c>
      <c r="S254">
        <f t="shared" si="31"/>
        <v>37.800000000000004</v>
      </c>
      <c r="T254">
        <f t="shared" si="32"/>
        <v>21</v>
      </c>
      <c r="U254">
        <f t="shared" si="33"/>
        <v>16.800000000000004</v>
      </c>
      <c r="V254" s="8">
        <f t="shared" si="34"/>
        <v>0.44444444444444453</v>
      </c>
    </row>
    <row r="255" spans="1:22" x14ac:dyDescent="0.3">
      <c r="A255" t="s">
        <v>266</v>
      </c>
      <c r="B255" s="4">
        <v>45869</v>
      </c>
      <c r="C255" t="s">
        <v>575</v>
      </c>
      <c r="D255" t="str">
        <f t="shared" si="27"/>
        <v>Lucas Jackson</v>
      </c>
      <c r="E255" t="s">
        <v>600</v>
      </c>
      <c r="F255" t="str">
        <f t="shared" si="28"/>
        <v>Australia</v>
      </c>
      <c r="G255" t="s">
        <v>636</v>
      </c>
      <c r="H255" t="s">
        <v>641</v>
      </c>
      <c r="I255">
        <v>1</v>
      </c>
      <c r="J255" s="1">
        <v>245</v>
      </c>
      <c r="K255" s="1">
        <v>150</v>
      </c>
      <c r="L255" s="2">
        <v>0.05</v>
      </c>
      <c r="M255" t="s">
        <v>647</v>
      </c>
      <c r="N255" t="str">
        <f t="shared" si="35"/>
        <v>Credit Card</v>
      </c>
      <c r="O255" t="s">
        <v>650</v>
      </c>
      <c r="P255" t="str">
        <f t="shared" si="29"/>
        <v>Cancelled</v>
      </c>
      <c r="Q255" t="str">
        <f t="shared" si="30"/>
        <v>Valid</v>
      </c>
      <c r="R255" t="s">
        <v>668</v>
      </c>
      <c r="S255">
        <f t="shared" si="31"/>
        <v>232.75</v>
      </c>
      <c r="T255">
        <f t="shared" si="32"/>
        <v>150</v>
      </c>
      <c r="U255">
        <f t="shared" si="33"/>
        <v>82.75</v>
      </c>
      <c r="V255" s="8">
        <f t="shared" si="34"/>
        <v>0.35553168635875404</v>
      </c>
    </row>
    <row r="256" spans="1:22" x14ac:dyDescent="0.3">
      <c r="A256" t="s">
        <v>267</v>
      </c>
      <c r="B256" s="4">
        <v>45819</v>
      </c>
      <c r="C256" t="s">
        <v>571</v>
      </c>
      <c r="D256" t="str">
        <f t="shared" si="27"/>
        <v>Henry Clark</v>
      </c>
      <c r="E256" t="s">
        <v>615</v>
      </c>
      <c r="F256" t="str">
        <f t="shared" si="28"/>
        <v>Canada</v>
      </c>
      <c r="G256" t="s">
        <v>626</v>
      </c>
      <c r="H256" t="s">
        <v>638</v>
      </c>
      <c r="I256">
        <v>5</v>
      </c>
      <c r="J256" s="1">
        <v>36</v>
      </c>
      <c r="K256" s="1">
        <v>16</v>
      </c>
      <c r="L256" s="2">
        <v>0</v>
      </c>
      <c r="M256" t="s">
        <v>642</v>
      </c>
      <c r="N256" t="s">
        <v>644</v>
      </c>
      <c r="O256" t="s">
        <v>650</v>
      </c>
      <c r="P256" t="str">
        <f t="shared" si="29"/>
        <v>Cancelled</v>
      </c>
      <c r="Q256" t="str">
        <f t="shared" si="30"/>
        <v>Valid</v>
      </c>
      <c r="R256" t="s">
        <v>664</v>
      </c>
      <c r="S256">
        <f t="shared" si="31"/>
        <v>180</v>
      </c>
      <c r="T256">
        <f t="shared" si="32"/>
        <v>80</v>
      </c>
      <c r="U256">
        <f t="shared" si="33"/>
        <v>100</v>
      </c>
      <c r="V256" s="8">
        <f t="shared" si="34"/>
        <v>0.55555555555555558</v>
      </c>
    </row>
    <row r="257" spans="1:22" x14ac:dyDescent="0.3">
      <c r="A257" t="s">
        <v>268</v>
      </c>
      <c r="B257" s="4">
        <v>45753</v>
      </c>
      <c r="C257" t="s">
        <v>568</v>
      </c>
      <c r="D257" t="str">
        <f t="shared" si="27"/>
        <v>Daniel Harris</v>
      </c>
      <c r="E257" t="s">
        <v>605</v>
      </c>
      <c r="F257" t="str">
        <f t="shared" si="28"/>
        <v>Singapore</v>
      </c>
      <c r="G257" t="s">
        <v>631</v>
      </c>
      <c r="H257" t="s">
        <v>641</v>
      </c>
      <c r="I257">
        <v>2</v>
      </c>
      <c r="J257" s="1">
        <v>85</v>
      </c>
      <c r="K257" s="1">
        <v>44</v>
      </c>
      <c r="L257" s="2">
        <v>0.1</v>
      </c>
      <c r="M257" t="s">
        <v>643</v>
      </c>
      <c r="N257" t="str">
        <f t="shared" si="35"/>
        <v>Credit Card</v>
      </c>
      <c r="O257" t="s">
        <v>649</v>
      </c>
      <c r="P257" t="str">
        <f t="shared" si="29"/>
        <v>Pending</v>
      </c>
      <c r="Q257" t="str">
        <f t="shared" si="30"/>
        <v>Valid</v>
      </c>
      <c r="R257" t="s">
        <v>666</v>
      </c>
      <c r="S257">
        <f t="shared" si="31"/>
        <v>153</v>
      </c>
      <c r="T257">
        <f t="shared" si="32"/>
        <v>88</v>
      </c>
      <c r="U257">
        <f t="shared" si="33"/>
        <v>65</v>
      </c>
      <c r="V257" s="8">
        <f t="shared" si="34"/>
        <v>0.42483660130718953</v>
      </c>
    </row>
    <row r="258" spans="1:22" x14ac:dyDescent="0.3">
      <c r="A258" t="s">
        <v>269</v>
      </c>
      <c r="B258" s="4">
        <v>45791</v>
      </c>
      <c r="C258" t="s">
        <v>582</v>
      </c>
      <c r="D258" t="str">
        <f t="shared" si="27"/>
        <v>Alex Morgan</v>
      </c>
      <c r="E258" t="s">
        <v>613</v>
      </c>
      <c r="F258" t="str">
        <f t="shared" si="28"/>
        <v>Singapore</v>
      </c>
      <c r="G258" t="s">
        <v>629</v>
      </c>
      <c r="H258" t="s">
        <v>640</v>
      </c>
      <c r="I258">
        <v>4</v>
      </c>
      <c r="J258" s="1">
        <v>92</v>
      </c>
      <c r="K258" s="1">
        <v>53</v>
      </c>
      <c r="L258" s="2">
        <v>0</v>
      </c>
      <c r="M258" t="s">
        <v>646</v>
      </c>
      <c r="N258" t="str">
        <f t="shared" si="35"/>
        <v>Debit Card</v>
      </c>
      <c r="O258" t="s">
        <v>648</v>
      </c>
      <c r="P258" t="str">
        <f t="shared" si="29"/>
        <v>Completed</v>
      </c>
      <c r="Q258" t="str">
        <f t="shared" si="30"/>
        <v>Valid</v>
      </c>
      <c r="R258" t="s">
        <v>658</v>
      </c>
      <c r="S258">
        <f t="shared" si="31"/>
        <v>368</v>
      </c>
      <c r="T258">
        <f t="shared" si="32"/>
        <v>212</v>
      </c>
      <c r="U258">
        <f t="shared" si="33"/>
        <v>156</v>
      </c>
      <c r="V258" s="8">
        <f t="shared" si="34"/>
        <v>0.42391304347826086</v>
      </c>
    </row>
    <row r="259" spans="1:22" x14ac:dyDescent="0.3">
      <c r="A259" t="s">
        <v>270</v>
      </c>
      <c r="B259" s="4">
        <v>45913</v>
      </c>
      <c r="C259" t="s">
        <v>571</v>
      </c>
      <c r="D259" t="str">
        <f t="shared" ref="D259:D322" si="36">PROPER(TRIM(C259))</f>
        <v>Henry Clark</v>
      </c>
      <c r="E259" t="s">
        <v>623</v>
      </c>
      <c r="F259" t="str">
        <f t="shared" ref="F259:F322" si="37">IF(OR(UPPER(TRIM(E259))="AUS",UPPER(TRIM(E259))="AUSTRALIA"),"Australia",IF(OR(UPPER(TRIM(E259))="CAN",UPPER(TRIM(E259))="CANADA"),"Canada",IF(OR(UPPER(TRIM(E259))="DE",UPPER(TRIM(E259))="GERMANY"),"Germany",IF(OR(UPPER(TRIM(E259))="IN",UPPER(TRIM(E259))="INDIA"),"India",IF(OR(UPPER(TRIM(E259))="US",UPPER(TRIM(E259))="USA",UPPER(TRIM(E259))="UNITED STATES"),"United States",IF(OR(UPPER(TRIM(E259))="UK",UPPER(TRIM(E259))="U.K.",UPPER(TRIM(E259))="UNITED KINGDOM"),"United Kingdom",IF(OR(UPPER(TRIM(E259))="UAE",UPPER(TRIM(E259))="U.A.E.",UPPER(TRIM(E259))="UNITED ARAB EMIRATES"),"United Arab Emirates",IF(OR(UPPER(TRIM(E259))="SG",UPPER(TRIM(E259))="SINGAPORE"),"Singapore",TRIM(E259)))))))))</f>
        <v>United States</v>
      </c>
      <c r="G259" t="s">
        <v>629</v>
      </c>
      <c r="H259" t="s">
        <v>640</v>
      </c>
      <c r="I259">
        <v>2</v>
      </c>
      <c r="J259" s="1">
        <v>92</v>
      </c>
      <c r="K259" s="1">
        <v>53</v>
      </c>
      <c r="L259" s="2">
        <v>0.05</v>
      </c>
      <c r="M259" t="s">
        <v>647</v>
      </c>
      <c r="N259" t="str">
        <f t="shared" ref="N259:N322" si="38">PROPER(TRIM(M259))</f>
        <v>Credit Card</v>
      </c>
      <c r="O259" t="s">
        <v>649</v>
      </c>
      <c r="P259" t="str">
        <f t="shared" ref="P259:P322" si="39">PROPER(TRIM(O259))</f>
        <v>Pending</v>
      </c>
      <c r="Q259" t="str">
        <f t="shared" ref="Q259:Q322" si="40">IF(TRIM(R259)="","Missing",IF(AND(ISNUMBER(SEARCH("@",R259)),ISNUMBER(SEARCH(".",R259,SEARCH("@",R259)+2))),"Valid","Invalid"))</f>
        <v>Valid</v>
      </c>
      <c r="R259" t="s">
        <v>664</v>
      </c>
      <c r="S259">
        <f t="shared" ref="S259:S322" si="41">I259*J259*(1-L259)</f>
        <v>174.79999999999998</v>
      </c>
      <c r="T259">
        <f t="shared" ref="T259:T322" si="42">I259*K259</f>
        <v>106</v>
      </c>
      <c r="U259">
        <f t="shared" ref="U259:U322" si="43">S259-T259</f>
        <v>68.799999999999983</v>
      </c>
      <c r="V259" s="8">
        <f t="shared" ref="V259:V322" si="44">IF(S259=0,0,U259/S259)</f>
        <v>0.39359267734553771</v>
      </c>
    </row>
    <row r="260" spans="1:22" x14ac:dyDescent="0.3">
      <c r="A260" t="s">
        <v>271</v>
      </c>
      <c r="B260" s="4">
        <v>45931</v>
      </c>
      <c r="C260" t="s">
        <v>585</v>
      </c>
      <c r="D260" t="str">
        <f t="shared" si="36"/>
        <v>Benjamin Walker</v>
      </c>
      <c r="E260" t="s">
        <v>619</v>
      </c>
      <c r="F260" t="str">
        <f t="shared" si="37"/>
        <v>India</v>
      </c>
      <c r="G260" t="s">
        <v>636</v>
      </c>
      <c r="H260" t="s">
        <v>641</v>
      </c>
      <c r="I260">
        <v>3</v>
      </c>
      <c r="J260" s="1">
        <v>245</v>
      </c>
      <c r="K260" s="1">
        <v>150</v>
      </c>
      <c r="L260" s="2">
        <v>0.2</v>
      </c>
      <c r="M260" t="s">
        <v>644</v>
      </c>
      <c r="N260" t="s">
        <v>644</v>
      </c>
      <c r="O260" t="s">
        <v>649</v>
      </c>
      <c r="P260" t="str">
        <f t="shared" si="39"/>
        <v>Pending</v>
      </c>
      <c r="Q260" t="str">
        <f t="shared" si="40"/>
        <v>Valid</v>
      </c>
      <c r="R260" t="s">
        <v>672</v>
      </c>
      <c r="S260">
        <f t="shared" si="41"/>
        <v>588</v>
      </c>
      <c r="T260">
        <f t="shared" si="42"/>
        <v>450</v>
      </c>
      <c r="U260">
        <f t="shared" si="43"/>
        <v>138</v>
      </c>
      <c r="V260" s="8">
        <f t="shared" si="44"/>
        <v>0.23469387755102042</v>
      </c>
    </row>
    <row r="261" spans="1:22" x14ac:dyDescent="0.3">
      <c r="A261" t="s">
        <v>272</v>
      </c>
      <c r="B261" s="4">
        <v>45783</v>
      </c>
      <c r="C261" t="s">
        <v>569</v>
      </c>
      <c r="D261" t="str">
        <f t="shared" si="36"/>
        <v>Mia White</v>
      </c>
      <c r="E261" t="s">
        <v>625</v>
      </c>
      <c r="F261" t="str">
        <f t="shared" si="37"/>
        <v>United States</v>
      </c>
      <c r="G261" t="s">
        <v>636</v>
      </c>
      <c r="H261" t="s">
        <v>641</v>
      </c>
      <c r="I261">
        <v>1</v>
      </c>
      <c r="J261" s="1">
        <v>245</v>
      </c>
      <c r="K261" s="1">
        <v>150</v>
      </c>
      <c r="L261" s="2">
        <v>0.15</v>
      </c>
      <c r="M261" t="s">
        <v>647</v>
      </c>
      <c r="N261" t="str">
        <f t="shared" si="38"/>
        <v>Credit Card</v>
      </c>
      <c r="O261" t="s">
        <v>648</v>
      </c>
      <c r="P261" t="str">
        <f t="shared" si="39"/>
        <v>Completed</v>
      </c>
      <c r="Q261" t="str">
        <f t="shared" si="40"/>
        <v>Valid</v>
      </c>
      <c r="R261" t="s">
        <v>662</v>
      </c>
      <c r="S261">
        <f t="shared" si="41"/>
        <v>208.25</v>
      </c>
      <c r="T261">
        <f t="shared" si="42"/>
        <v>150</v>
      </c>
      <c r="U261">
        <f t="shared" si="43"/>
        <v>58.25</v>
      </c>
      <c r="V261" s="8">
        <f t="shared" si="44"/>
        <v>0.27971188475390157</v>
      </c>
    </row>
    <row r="262" spans="1:22" x14ac:dyDescent="0.3">
      <c r="A262" t="s">
        <v>273</v>
      </c>
      <c r="B262" s="4">
        <v>45888</v>
      </c>
      <c r="C262" t="s">
        <v>564</v>
      </c>
      <c r="D262" t="str">
        <f t="shared" si="36"/>
        <v>Ava Thomas</v>
      </c>
      <c r="E262" t="s">
        <v>608</v>
      </c>
      <c r="F262" t="str">
        <f t="shared" si="37"/>
        <v>India</v>
      </c>
      <c r="G262" t="s">
        <v>633</v>
      </c>
      <c r="H262" t="s">
        <v>638</v>
      </c>
      <c r="I262">
        <v>3</v>
      </c>
      <c r="J262" s="1">
        <v>210</v>
      </c>
      <c r="K262" s="1">
        <v>125</v>
      </c>
      <c r="L262" s="2">
        <v>0.15</v>
      </c>
      <c r="M262" t="s">
        <v>642</v>
      </c>
      <c r="N262" t="s">
        <v>644</v>
      </c>
      <c r="O262" t="s">
        <v>649</v>
      </c>
      <c r="P262" t="str">
        <f t="shared" si="39"/>
        <v>Pending</v>
      </c>
      <c r="Q262" t="str">
        <f t="shared" si="40"/>
        <v>Valid</v>
      </c>
      <c r="R262" t="s">
        <v>657</v>
      </c>
      <c r="S262">
        <f t="shared" si="41"/>
        <v>535.5</v>
      </c>
      <c r="T262">
        <f t="shared" si="42"/>
        <v>375</v>
      </c>
      <c r="U262">
        <f t="shared" si="43"/>
        <v>160.5</v>
      </c>
      <c r="V262" s="8">
        <f t="shared" si="44"/>
        <v>0.29971988795518206</v>
      </c>
    </row>
    <row r="263" spans="1:22" x14ac:dyDescent="0.3">
      <c r="A263" t="s">
        <v>274</v>
      </c>
      <c r="B263" s="4">
        <v>45881</v>
      </c>
      <c r="C263" t="s">
        <v>567</v>
      </c>
      <c r="D263" t="str">
        <f t="shared" si="36"/>
        <v>Sophia Taylor</v>
      </c>
      <c r="E263" t="s">
        <v>620</v>
      </c>
      <c r="F263" t="str">
        <f t="shared" si="37"/>
        <v>India</v>
      </c>
      <c r="G263" t="s">
        <v>634</v>
      </c>
      <c r="H263" t="s">
        <v>641</v>
      </c>
      <c r="I263">
        <v>5</v>
      </c>
      <c r="J263" s="1">
        <v>59</v>
      </c>
      <c r="K263" s="1">
        <v>30</v>
      </c>
      <c r="L263" s="2">
        <v>0.1</v>
      </c>
      <c r="M263" t="s">
        <v>643</v>
      </c>
      <c r="N263" t="str">
        <f t="shared" si="38"/>
        <v>Credit Card</v>
      </c>
      <c r="O263" t="s">
        <v>648</v>
      </c>
      <c r="P263" t="str">
        <f t="shared" si="39"/>
        <v>Completed</v>
      </c>
      <c r="Q263" t="str">
        <f t="shared" si="40"/>
        <v>Valid</v>
      </c>
      <c r="R263" t="s">
        <v>660</v>
      </c>
      <c r="S263">
        <f t="shared" si="41"/>
        <v>265.5</v>
      </c>
      <c r="T263">
        <f t="shared" si="42"/>
        <v>150</v>
      </c>
      <c r="U263">
        <f t="shared" si="43"/>
        <v>115.5</v>
      </c>
      <c r="V263" s="8">
        <f t="shared" si="44"/>
        <v>0.43502824858757061</v>
      </c>
    </row>
    <row r="264" spans="1:22" x14ac:dyDescent="0.3">
      <c r="A264" t="s">
        <v>275</v>
      </c>
      <c r="B264" s="4">
        <v>45742</v>
      </c>
      <c r="C264" t="s">
        <v>583</v>
      </c>
      <c r="D264" t="str">
        <f t="shared" si="36"/>
        <v>Ethan Anderson</v>
      </c>
      <c r="E264" t="s">
        <v>599</v>
      </c>
      <c r="F264" t="str">
        <f t="shared" si="37"/>
        <v>United Arab Emirates</v>
      </c>
      <c r="G264" t="s">
        <v>634</v>
      </c>
      <c r="H264" t="s">
        <v>641</v>
      </c>
      <c r="I264">
        <v>2</v>
      </c>
      <c r="J264" s="1">
        <v>59</v>
      </c>
      <c r="K264" s="1">
        <v>30</v>
      </c>
      <c r="L264" s="2">
        <v>0</v>
      </c>
      <c r="M264" t="s">
        <v>643</v>
      </c>
      <c r="N264" t="str">
        <f t="shared" si="38"/>
        <v>Credit Card</v>
      </c>
      <c r="O264" t="s">
        <v>648</v>
      </c>
      <c r="P264" t="str">
        <f t="shared" si="39"/>
        <v>Completed</v>
      </c>
      <c r="Q264" t="str">
        <f t="shared" si="40"/>
        <v>Valid</v>
      </c>
      <c r="R264" t="s">
        <v>673</v>
      </c>
      <c r="S264">
        <f t="shared" si="41"/>
        <v>118</v>
      </c>
      <c r="T264">
        <f t="shared" si="42"/>
        <v>60</v>
      </c>
      <c r="U264">
        <f t="shared" si="43"/>
        <v>58</v>
      </c>
      <c r="V264" s="8">
        <f t="shared" si="44"/>
        <v>0.49152542372881358</v>
      </c>
    </row>
    <row r="265" spans="1:22" x14ac:dyDescent="0.3">
      <c r="A265" t="s">
        <v>276</v>
      </c>
      <c r="B265" s="4">
        <v>45855</v>
      </c>
      <c r="C265" t="s">
        <v>584</v>
      </c>
      <c r="D265" t="str">
        <f t="shared" si="36"/>
        <v>James Thompson</v>
      </c>
      <c r="E265" t="s">
        <v>600</v>
      </c>
      <c r="F265" t="str">
        <f t="shared" si="37"/>
        <v>Australia</v>
      </c>
      <c r="G265" t="s">
        <v>633</v>
      </c>
      <c r="H265" t="s">
        <v>638</v>
      </c>
      <c r="I265">
        <v>3</v>
      </c>
      <c r="J265" s="1">
        <v>210</v>
      </c>
      <c r="K265" s="1">
        <v>125</v>
      </c>
      <c r="L265" s="2">
        <v>0.1</v>
      </c>
      <c r="M265" t="s">
        <v>646</v>
      </c>
      <c r="N265" t="str">
        <f t="shared" si="38"/>
        <v>Debit Card</v>
      </c>
      <c r="O265" t="s">
        <v>651</v>
      </c>
      <c r="P265" t="str">
        <f t="shared" si="39"/>
        <v>Shipped</v>
      </c>
      <c r="Q265" t="str">
        <f t="shared" si="40"/>
        <v>Valid</v>
      </c>
      <c r="R265" t="s">
        <v>675</v>
      </c>
      <c r="S265">
        <f t="shared" si="41"/>
        <v>567</v>
      </c>
      <c r="T265">
        <f t="shared" si="42"/>
        <v>375</v>
      </c>
      <c r="U265">
        <f t="shared" si="43"/>
        <v>192</v>
      </c>
      <c r="V265" s="8">
        <f t="shared" si="44"/>
        <v>0.33862433862433861</v>
      </c>
    </row>
    <row r="266" spans="1:22" x14ac:dyDescent="0.3">
      <c r="A266" t="s">
        <v>277</v>
      </c>
      <c r="B266" s="4">
        <v>45958</v>
      </c>
      <c r="C266" t="s">
        <v>574</v>
      </c>
      <c r="D266" t="str">
        <f t="shared" si="36"/>
        <v>Sophia Taylor</v>
      </c>
      <c r="E266" t="s">
        <v>601</v>
      </c>
      <c r="F266" t="str">
        <f t="shared" si="37"/>
        <v>United Kingdom</v>
      </c>
      <c r="G266" t="s">
        <v>636</v>
      </c>
      <c r="H266" t="s">
        <v>641</v>
      </c>
      <c r="I266">
        <v>2</v>
      </c>
      <c r="J266" s="1">
        <v>245</v>
      </c>
      <c r="K266" s="1">
        <v>150</v>
      </c>
      <c r="L266" s="2">
        <v>0.15</v>
      </c>
      <c r="M266" t="s">
        <v>645</v>
      </c>
      <c r="N266" t="str">
        <f t="shared" si="38"/>
        <v>Bank Transfer</v>
      </c>
      <c r="O266" t="s">
        <v>651</v>
      </c>
      <c r="P266" t="str">
        <f t="shared" si="39"/>
        <v>Shipped</v>
      </c>
      <c r="Q266" t="str">
        <f t="shared" si="40"/>
        <v>Valid</v>
      </c>
      <c r="R266" t="s">
        <v>660</v>
      </c>
      <c r="S266">
        <f t="shared" si="41"/>
        <v>416.5</v>
      </c>
      <c r="T266">
        <f t="shared" si="42"/>
        <v>300</v>
      </c>
      <c r="U266">
        <f t="shared" si="43"/>
        <v>116.5</v>
      </c>
      <c r="V266" s="8">
        <f t="shared" si="44"/>
        <v>0.27971188475390157</v>
      </c>
    </row>
    <row r="267" spans="1:22" x14ac:dyDescent="0.3">
      <c r="A267" t="s">
        <v>278</v>
      </c>
      <c r="B267" s="4">
        <v>45748</v>
      </c>
      <c r="C267" t="s">
        <v>582</v>
      </c>
      <c r="D267" t="str">
        <f t="shared" si="36"/>
        <v>Alex Morgan</v>
      </c>
      <c r="E267" t="s">
        <v>599</v>
      </c>
      <c r="F267" t="str">
        <f t="shared" si="37"/>
        <v>United Arab Emirates</v>
      </c>
      <c r="G267" t="s">
        <v>636</v>
      </c>
      <c r="H267" t="s">
        <v>641</v>
      </c>
      <c r="I267">
        <v>3</v>
      </c>
      <c r="J267" s="1">
        <v>245</v>
      </c>
      <c r="K267" s="1">
        <v>150</v>
      </c>
      <c r="L267" s="2">
        <v>0.05</v>
      </c>
      <c r="M267" t="s">
        <v>645</v>
      </c>
      <c r="N267" t="str">
        <f t="shared" si="38"/>
        <v>Bank Transfer</v>
      </c>
      <c r="O267" t="s">
        <v>649</v>
      </c>
      <c r="P267" t="str">
        <f t="shared" si="39"/>
        <v>Pending</v>
      </c>
      <c r="Q267" t="str">
        <f t="shared" si="40"/>
        <v>Valid</v>
      </c>
      <c r="R267" t="s">
        <v>658</v>
      </c>
      <c r="S267">
        <f t="shared" si="41"/>
        <v>698.25</v>
      </c>
      <c r="T267">
        <f t="shared" si="42"/>
        <v>450</v>
      </c>
      <c r="U267">
        <f t="shared" si="43"/>
        <v>248.25</v>
      </c>
      <c r="V267" s="8">
        <f t="shared" si="44"/>
        <v>0.35553168635875404</v>
      </c>
    </row>
    <row r="268" spans="1:22" x14ac:dyDescent="0.3">
      <c r="A268" t="s">
        <v>279</v>
      </c>
      <c r="B268" s="4">
        <v>45967</v>
      </c>
      <c r="C268" t="s">
        <v>570</v>
      </c>
      <c r="D268" t="str">
        <f t="shared" si="36"/>
        <v>Grace Moore</v>
      </c>
      <c r="E268" t="s">
        <v>623</v>
      </c>
      <c r="F268" t="str">
        <f t="shared" si="37"/>
        <v>United States</v>
      </c>
      <c r="G268" t="s">
        <v>632</v>
      </c>
      <c r="H268" t="s">
        <v>639</v>
      </c>
      <c r="I268">
        <v>5</v>
      </c>
      <c r="J268" s="1">
        <v>42</v>
      </c>
      <c r="K268" s="1">
        <v>21</v>
      </c>
      <c r="L268" s="2">
        <v>0</v>
      </c>
      <c r="M268" t="s">
        <v>643</v>
      </c>
      <c r="N268" t="str">
        <f t="shared" si="38"/>
        <v>Credit Card</v>
      </c>
      <c r="O268" t="s">
        <v>648</v>
      </c>
      <c r="P268" t="str">
        <f t="shared" si="39"/>
        <v>Completed</v>
      </c>
      <c r="Q268" t="str">
        <f t="shared" si="40"/>
        <v>Valid</v>
      </c>
      <c r="R268" t="s">
        <v>663</v>
      </c>
      <c r="S268">
        <f t="shared" si="41"/>
        <v>210</v>
      </c>
      <c r="T268">
        <f t="shared" si="42"/>
        <v>105</v>
      </c>
      <c r="U268">
        <f t="shared" si="43"/>
        <v>105</v>
      </c>
      <c r="V268" s="8">
        <f t="shared" si="44"/>
        <v>0.5</v>
      </c>
    </row>
    <row r="269" spans="1:22" x14ac:dyDescent="0.3">
      <c r="A269" t="s">
        <v>280</v>
      </c>
      <c r="B269" s="4">
        <v>45733</v>
      </c>
      <c r="C269" t="s">
        <v>587</v>
      </c>
      <c r="D269" t="str">
        <f t="shared" si="36"/>
        <v>Henry Clark</v>
      </c>
      <c r="E269" t="s">
        <v>604</v>
      </c>
      <c r="F269" t="str">
        <f t="shared" si="37"/>
        <v>United States</v>
      </c>
      <c r="G269" t="s">
        <v>631</v>
      </c>
      <c r="H269" t="s">
        <v>641</v>
      </c>
      <c r="I269">
        <v>4</v>
      </c>
      <c r="J269" s="1">
        <v>85</v>
      </c>
      <c r="K269" s="1">
        <v>44</v>
      </c>
      <c r="L269" s="2">
        <v>0</v>
      </c>
      <c r="M269" t="s">
        <v>643</v>
      </c>
      <c r="N269" t="str">
        <f t="shared" si="38"/>
        <v>Credit Card</v>
      </c>
      <c r="O269" t="s">
        <v>651</v>
      </c>
      <c r="P269" t="str">
        <f t="shared" si="39"/>
        <v>Shipped</v>
      </c>
      <c r="Q269" t="str">
        <f t="shared" si="40"/>
        <v>Valid</v>
      </c>
      <c r="R269" t="s">
        <v>664</v>
      </c>
      <c r="S269">
        <f t="shared" si="41"/>
        <v>340</v>
      </c>
      <c r="T269">
        <f t="shared" si="42"/>
        <v>176</v>
      </c>
      <c r="U269">
        <f t="shared" si="43"/>
        <v>164</v>
      </c>
      <c r="V269" s="8">
        <f t="shared" si="44"/>
        <v>0.4823529411764706</v>
      </c>
    </row>
    <row r="270" spans="1:22" x14ac:dyDescent="0.3">
      <c r="A270" t="s">
        <v>281</v>
      </c>
      <c r="B270" s="4">
        <v>45857</v>
      </c>
      <c r="C270" t="s">
        <v>569</v>
      </c>
      <c r="D270" t="str">
        <f t="shared" si="36"/>
        <v>Mia White</v>
      </c>
      <c r="E270" t="s">
        <v>606</v>
      </c>
      <c r="F270" t="str">
        <f t="shared" si="37"/>
        <v>Canada</v>
      </c>
      <c r="G270" t="s">
        <v>626</v>
      </c>
      <c r="H270" t="s">
        <v>638</v>
      </c>
      <c r="I270">
        <v>3</v>
      </c>
      <c r="J270" s="1">
        <v>36</v>
      </c>
      <c r="K270" s="1">
        <v>16</v>
      </c>
      <c r="L270" s="2">
        <v>0.05</v>
      </c>
      <c r="M270" t="s">
        <v>643</v>
      </c>
      <c r="N270" t="str">
        <f t="shared" si="38"/>
        <v>Credit Card</v>
      </c>
      <c r="O270" t="s">
        <v>648</v>
      </c>
      <c r="P270" t="str">
        <f t="shared" si="39"/>
        <v>Completed</v>
      </c>
      <c r="Q270" t="str">
        <f t="shared" si="40"/>
        <v>Valid</v>
      </c>
      <c r="R270" t="s">
        <v>662</v>
      </c>
      <c r="S270">
        <f t="shared" si="41"/>
        <v>102.6</v>
      </c>
      <c r="T270">
        <f t="shared" si="42"/>
        <v>48</v>
      </c>
      <c r="U270">
        <f t="shared" si="43"/>
        <v>54.599999999999994</v>
      </c>
      <c r="V270" s="8">
        <f t="shared" si="44"/>
        <v>0.53216374269005851</v>
      </c>
    </row>
    <row r="271" spans="1:22" x14ac:dyDescent="0.3">
      <c r="A271" t="s">
        <v>282</v>
      </c>
      <c r="B271" s="4">
        <v>45798</v>
      </c>
      <c r="C271" t="s">
        <v>566</v>
      </c>
      <c r="D271" t="str">
        <f t="shared" si="36"/>
        <v>Lily Hall</v>
      </c>
      <c r="E271" t="s">
        <v>619</v>
      </c>
      <c r="F271" t="str">
        <f t="shared" si="37"/>
        <v>India</v>
      </c>
      <c r="G271" t="s">
        <v>630</v>
      </c>
      <c r="H271" t="s">
        <v>640</v>
      </c>
      <c r="I271">
        <v>2</v>
      </c>
      <c r="J271" s="1">
        <v>78</v>
      </c>
      <c r="K271" s="1">
        <v>45</v>
      </c>
      <c r="L271" s="2">
        <v>0</v>
      </c>
      <c r="N271" t="s">
        <v>717</v>
      </c>
      <c r="O271" t="s">
        <v>653</v>
      </c>
      <c r="P271" t="str">
        <f t="shared" si="39"/>
        <v>Pending</v>
      </c>
      <c r="Q271" t="str">
        <f t="shared" si="40"/>
        <v>Valid</v>
      </c>
      <c r="R271" t="s">
        <v>659</v>
      </c>
      <c r="S271">
        <f t="shared" si="41"/>
        <v>156</v>
      </c>
      <c r="T271">
        <f t="shared" si="42"/>
        <v>90</v>
      </c>
      <c r="U271">
        <f t="shared" si="43"/>
        <v>66</v>
      </c>
      <c r="V271" s="8">
        <f t="shared" si="44"/>
        <v>0.42307692307692307</v>
      </c>
    </row>
    <row r="272" spans="1:22" x14ac:dyDescent="0.3">
      <c r="A272" t="s">
        <v>283</v>
      </c>
      <c r="B272" s="4">
        <v>45818</v>
      </c>
      <c r="C272" t="s">
        <v>584</v>
      </c>
      <c r="D272" t="str">
        <f t="shared" si="36"/>
        <v>James Thompson</v>
      </c>
      <c r="E272" t="s">
        <v>599</v>
      </c>
      <c r="F272" t="str">
        <f t="shared" si="37"/>
        <v>United Arab Emirates</v>
      </c>
      <c r="G272" t="s">
        <v>634</v>
      </c>
      <c r="H272" t="s">
        <v>641</v>
      </c>
      <c r="I272">
        <v>3</v>
      </c>
      <c r="J272" s="1">
        <v>59</v>
      </c>
      <c r="K272" s="1">
        <v>30</v>
      </c>
      <c r="L272" s="2">
        <v>0.15</v>
      </c>
      <c r="M272" t="s">
        <v>644</v>
      </c>
      <c r="N272" t="s">
        <v>644</v>
      </c>
      <c r="O272" t="s">
        <v>649</v>
      </c>
      <c r="P272" t="str">
        <f t="shared" si="39"/>
        <v>Pending</v>
      </c>
      <c r="Q272" t="str">
        <f t="shared" si="40"/>
        <v>Valid</v>
      </c>
      <c r="R272" t="s">
        <v>675</v>
      </c>
      <c r="S272">
        <f t="shared" si="41"/>
        <v>150.44999999999999</v>
      </c>
      <c r="T272">
        <f t="shared" si="42"/>
        <v>90</v>
      </c>
      <c r="U272">
        <f t="shared" si="43"/>
        <v>60.449999999999989</v>
      </c>
      <c r="V272" s="8">
        <f t="shared" si="44"/>
        <v>0.40179461615154533</v>
      </c>
    </row>
    <row r="273" spans="1:22" x14ac:dyDescent="0.3">
      <c r="A273" t="s">
        <v>284</v>
      </c>
      <c r="B273" s="4">
        <v>45991</v>
      </c>
      <c r="C273" t="s">
        <v>580</v>
      </c>
      <c r="D273" t="str">
        <f t="shared" si="36"/>
        <v>Benjamin Walker</v>
      </c>
      <c r="E273" t="s">
        <v>611</v>
      </c>
      <c r="F273" t="str">
        <f t="shared" si="37"/>
        <v>United States</v>
      </c>
      <c r="G273" t="s">
        <v>636</v>
      </c>
      <c r="H273" t="s">
        <v>641</v>
      </c>
      <c r="I273">
        <v>1</v>
      </c>
      <c r="J273" s="1">
        <v>245</v>
      </c>
      <c r="K273" s="1">
        <v>150</v>
      </c>
      <c r="L273" s="2">
        <v>0.15</v>
      </c>
      <c r="M273" t="s">
        <v>646</v>
      </c>
      <c r="N273" t="str">
        <f t="shared" si="38"/>
        <v>Debit Card</v>
      </c>
      <c r="O273" t="s">
        <v>648</v>
      </c>
      <c r="P273" t="str">
        <f t="shared" si="39"/>
        <v>Completed</v>
      </c>
      <c r="Q273" t="str">
        <f t="shared" si="40"/>
        <v>Valid</v>
      </c>
      <c r="R273" t="s">
        <v>672</v>
      </c>
      <c r="S273">
        <f t="shared" si="41"/>
        <v>208.25</v>
      </c>
      <c r="T273">
        <f t="shared" si="42"/>
        <v>150</v>
      </c>
      <c r="U273">
        <f t="shared" si="43"/>
        <v>58.25</v>
      </c>
      <c r="V273" s="8">
        <f t="shared" si="44"/>
        <v>0.27971188475390157</v>
      </c>
    </row>
    <row r="274" spans="1:22" x14ac:dyDescent="0.3">
      <c r="A274" t="s">
        <v>285</v>
      </c>
      <c r="B274" s="4">
        <v>45878</v>
      </c>
      <c r="C274" t="s">
        <v>582</v>
      </c>
      <c r="D274" t="str">
        <f t="shared" si="36"/>
        <v>Alex Morgan</v>
      </c>
      <c r="E274" t="s">
        <v>606</v>
      </c>
      <c r="F274" t="str">
        <f t="shared" si="37"/>
        <v>Canada</v>
      </c>
      <c r="G274" t="s">
        <v>632</v>
      </c>
      <c r="H274" t="s">
        <v>639</v>
      </c>
      <c r="I274">
        <v>3</v>
      </c>
      <c r="J274" s="1">
        <v>42</v>
      </c>
      <c r="K274" s="1">
        <v>21</v>
      </c>
      <c r="L274" s="2">
        <v>0.1</v>
      </c>
      <c r="M274" t="s">
        <v>643</v>
      </c>
      <c r="N274" t="str">
        <f t="shared" si="38"/>
        <v>Credit Card</v>
      </c>
      <c r="O274" t="s">
        <v>650</v>
      </c>
      <c r="P274" t="str">
        <f t="shared" si="39"/>
        <v>Cancelled</v>
      </c>
      <c r="Q274" t="str">
        <f t="shared" si="40"/>
        <v>Valid</v>
      </c>
      <c r="R274" t="s">
        <v>658</v>
      </c>
      <c r="S274">
        <f t="shared" si="41"/>
        <v>113.4</v>
      </c>
      <c r="T274">
        <f t="shared" si="42"/>
        <v>63</v>
      </c>
      <c r="U274">
        <f t="shared" si="43"/>
        <v>50.400000000000006</v>
      </c>
      <c r="V274" s="8">
        <f t="shared" si="44"/>
        <v>0.44444444444444448</v>
      </c>
    </row>
    <row r="275" spans="1:22" x14ac:dyDescent="0.3">
      <c r="A275" t="s">
        <v>286</v>
      </c>
      <c r="B275" s="4">
        <v>45914</v>
      </c>
      <c r="C275" t="s">
        <v>564</v>
      </c>
      <c r="D275" t="str">
        <f t="shared" si="36"/>
        <v>Ava Thomas</v>
      </c>
      <c r="E275" t="s">
        <v>607</v>
      </c>
      <c r="F275" t="str">
        <f t="shared" si="37"/>
        <v>Germany</v>
      </c>
      <c r="G275" t="s">
        <v>628</v>
      </c>
      <c r="H275" t="s">
        <v>639</v>
      </c>
      <c r="I275">
        <v>5</v>
      </c>
      <c r="J275" s="1">
        <v>18</v>
      </c>
      <c r="K275" s="1">
        <v>7</v>
      </c>
      <c r="L275" s="2">
        <v>0.05</v>
      </c>
      <c r="M275" t="s">
        <v>645</v>
      </c>
      <c r="N275" t="str">
        <f t="shared" si="38"/>
        <v>Bank Transfer</v>
      </c>
      <c r="O275" t="s">
        <v>649</v>
      </c>
      <c r="P275" t="str">
        <f t="shared" si="39"/>
        <v>Pending</v>
      </c>
      <c r="Q275" t="str">
        <f t="shared" si="40"/>
        <v>Valid</v>
      </c>
      <c r="R275" t="s">
        <v>657</v>
      </c>
      <c r="S275">
        <f t="shared" si="41"/>
        <v>85.5</v>
      </c>
      <c r="T275">
        <f t="shared" si="42"/>
        <v>35</v>
      </c>
      <c r="U275">
        <f t="shared" si="43"/>
        <v>50.5</v>
      </c>
      <c r="V275" s="8">
        <f t="shared" si="44"/>
        <v>0.59064327485380119</v>
      </c>
    </row>
    <row r="276" spans="1:22" x14ac:dyDescent="0.3">
      <c r="A276" t="s">
        <v>287</v>
      </c>
      <c r="B276" s="4">
        <v>45768</v>
      </c>
      <c r="C276" t="s">
        <v>566</v>
      </c>
      <c r="D276" t="str">
        <f t="shared" si="36"/>
        <v>Lily Hall</v>
      </c>
      <c r="E276" t="s">
        <v>618</v>
      </c>
      <c r="F276" t="str">
        <f t="shared" si="37"/>
        <v>United Kingdom</v>
      </c>
      <c r="G276" t="s">
        <v>627</v>
      </c>
      <c r="H276" t="s">
        <v>639</v>
      </c>
      <c r="I276">
        <v>3</v>
      </c>
      <c r="J276" s="1">
        <v>38</v>
      </c>
      <c r="K276" s="1">
        <v>17</v>
      </c>
      <c r="L276" s="2">
        <v>0.1</v>
      </c>
      <c r="M276" t="s">
        <v>644</v>
      </c>
      <c r="N276" t="s">
        <v>644</v>
      </c>
      <c r="O276" t="s">
        <v>649</v>
      </c>
      <c r="P276" t="str">
        <f t="shared" si="39"/>
        <v>Pending</v>
      </c>
      <c r="Q276" t="str">
        <f t="shared" si="40"/>
        <v>Valid</v>
      </c>
      <c r="R276" t="s">
        <v>659</v>
      </c>
      <c r="S276">
        <f t="shared" si="41"/>
        <v>102.60000000000001</v>
      </c>
      <c r="T276">
        <f t="shared" si="42"/>
        <v>51</v>
      </c>
      <c r="U276">
        <f t="shared" si="43"/>
        <v>51.600000000000009</v>
      </c>
      <c r="V276" s="8">
        <f t="shared" si="44"/>
        <v>0.50292397660818722</v>
      </c>
    </row>
    <row r="277" spans="1:22" x14ac:dyDescent="0.3">
      <c r="A277" t="s">
        <v>288</v>
      </c>
      <c r="B277" s="4">
        <v>45761</v>
      </c>
      <c r="C277" t="s">
        <v>564</v>
      </c>
      <c r="D277" t="str">
        <f t="shared" si="36"/>
        <v>Ava Thomas</v>
      </c>
      <c r="E277" t="s">
        <v>619</v>
      </c>
      <c r="F277" t="str">
        <f t="shared" si="37"/>
        <v>India</v>
      </c>
      <c r="G277" t="s">
        <v>635</v>
      </c>
      <c r="H277" t="s">
        <v>639</v>
      </c>
      <c r="I277">
        <v>1</v>
      </c>
      <c r="J277" s="1">
        <v>65</v>
      </c>
      <c r="K277" s="1">
        <v>31</v>
      </c>
      <c r="L277" s="2">
        <v>0.15</v>
      </c>
      <c r="M277" t="s">
        <v>642</v>
      </c>
      <c r="N277" t="s">
        <v>644</v>
      </c>
      <c r="O277" t="s">
        <v>650</v>
      </c>
      <c r="P277" t="str">
        <f t="shared" si="39"/>
        <v>Cancelled</v>
      </c>
      <c r="Q277" t="str">
        <f t="shared" si="40"/>
        <v>Valid</v>
      </c>
      <c r="R277" t="s">
        <v>657</v>
      </c>
      <c r="S277">
        <f t="shared" si="41"/>
        <v>55.25</v>
      </c>
      <c r="T277">
        <f t="shared" si="42"/>
        <v>31</v>
      </c>
      <c r="U277">
        <f t="shared" si="43"/>
        <v>24.25</v>
      </c>
      <c r="V277" s="8">
        <f t="shared" si="44"/>
        <v>0.43891402714932126</v>
      </c>
    </row>
    <row r="278" spans="1:22" x14ac:dyDescent="0.3">
      <c r="A278" t="s">
        <v>289</v>
      </c>
      <c r="B278" s="4">
        <v>45930</v>
      </c>
      <c r="C278" t="s">
        <v>571</v>
      </c>
      <c r="D278" t="str">
        <f t="shared" si="36"/>
        <v>Henry Clark</v>
      </c>
      <c r="E278" t="s">
        <v>602</v>
      </c>
      <c r="F278" t="str">
        <f t="shared" si="37"/>
        <v>Australia</v>
      </c>
      <c r="G278" t="s">
        <v>628</v>
      </c>
      <c r="H278" t="s">
        <v>639</v>
      </c>
      <c r="I278">
        <v>5</v>
      </c>
      <c r="J278" s="1">
        <v>18</v>
      </c>
      <c r="K278" s="1">
        <v>7</v>
      </c>
      <c r="L278" s="2">
        <v>0.05</v>
      </c>
      <c r="M278" t="s">
        <v>646</v>
      </c>
      <c r="N278" t="str">
        <f t="shared" si="38"/>
        <v>Debit Card</v>
      </c>
      <c r="O278" t="s">
        <v>648</v>
      </c>
      <c r="P278" t="str">
        <f t="shared" si="39"/>
        <v>Completed</v>
      </c>
      <c r="Q278" t="str">
        <f t="shared" si="40"/>
        <v>Valid</v>
      </c>
      <c r="R278" t="s">
        <v>664</v>
      </c>
      <c r="S278">
        <f t="shared" si="41"/>
        <v>85.5</v>
      </c>
      <c r="T278">
        <f t="shared" si="42"/>
        <v>35</v>
      </c>
      <c r="U278">
        <f t="shared" si="43"/>
        <v>50.5</v>
      </c>
      <c r="V278" s="8">
        <f t="shared" si="44"/>
        <v>0.59064327485380119</v>
      </c>
    </row>
    <row r="279" spans="1:22" x14ac:dyDescent="0.3">
      <c r="A279" t="s">
        <v>290</v>
      </c>
      <c r="B279" s="4">
        <v>45755</v>
      </c>
      <c r="C279" t="s">
        <v>567</v>
      </c>
      <c r="D279" t="str">
        <f t="shared" si="36"/>
        <v>Sophia Taylor</v>
      </c>
      <c r="E279" t="s">
        <v>609</v>
      </c>
      <c r="F279" t="str">
        <f t="shared" si="37"/>
        <v>Singapore</v>
      </c>
      <c r="G279" t="s">
        <v>626</v>
      </c>
      <c r="H279" t="s">
        <v>638</v>
      </c>
      <c r="I279">
        <v>5</v>
      </c>
      <c r="J279" s="1">
        <v>36</v>
      </c>
      <c r="K279" s="1">
        <v>16</v>
      </c>
      <c r="L279" s="2">
        <v>0</v>
      </c>
      <c r="M279" t="s">
        <v>643</v>
      </c>
      <c r="N279" t="str">
        <f t="shared" si="38"/>
        <v>Credit Card</v>
      </c>
      <c r="O279" t="s">
        <v>651</v>
      </c>
      <c r="P279" t="str">
        <f t="shared" si="39"/>
        <v>Shipped</v>
      </c>
      <c r="Q279" t="str">
        <f t="shared" si="40"/>
        <v>Valid</v>
      </c>
      <c r="R279" t="s">
        <v>660</v>
      </c>
      <c r="S279">
        <f t="shared" si="41"/>
        <v>180</v>
      </c>
      <c r="T279">
        <f t="shared" si="42"/>
        <v>80</v>
      </c>
      <c r="U279">
        <f t="shared" si="43"/>
        <v>100</v>
      </c>
      <c r="V279" s="8">
        <f t="shared" si="44"/>
        <v>0.55555555555555558</v>
      </c>
    </row>
    <row r="280" spans="1:22" x14ac:dyDescent="0.3">
      <c r="A280" t="s">
        <v>291</v>
      </c>
      <c r="B280" s="4">
        <v>45731</v>
      </c>
      <c r="C280" t="s">
        <v>577</v>
      </c>
      <c r="D280" t="str">
        <f t="shared" si="36"/>
        <v>Emma Wilson</v>
      </c>
      <c r="E280" t="s">
        <v>616</v>
      </c>
      <c r="F280" t="str">
        <f t="shared" si="37"/>
        <v>United Kingdom</v>
      </c>
      <c r="G280" t="s">
        <v>630</v>
      </c>
      <c r="H280" t="s">
        <v>640</v>
      </c>
      <c r="I280">
        <v>1</v>
      </c>
      <c r="J280" s="1">
        <v>78</v>
      </c>
      <c r="K280" s="1">
        <v>45</v>
      </c>
      <c r="L280" s="2">
        <v>0.1</v>
      </c>
      <c r="M280" t="s">
        <v>642</v>
      </c>
      <c r="N280" t="s">
        <v>644</v>
      </c>
      <c r="O280" t="s">
        <v>649</v>
      </c>
      <c r="P280" t="str">
        <f t="shared" si="39"/>
        <v>Pending</v>
      </c>
      <c r="Q280" t="str">
        <f t="shared" si="40"/>
        <v>Valid</v>
      </c>
      <c r="R280" t="s">
        <v>670</v>
      </c>
      <c r="S280">
        <f t="shared" si="41"/>
        <v>70.2</v>
      </c>
      <c r="T280">
        <f t="shared" si="42"/>
        <v>45</v>
      </c>
      <c r="U280">
        <f t="shared" si="43"/>
        <v>25.200000000000003</v>
      </c>
      <c r="V280" s="8">
        <f t="shared" si="44"/>
        <v>0.35897435897435898</v>
      </c>
    </row>
    <row r="281" spans="1:22" x14ac:dyDescent="0.3">
      <c r="A281" t="s">
        <v>292</v>
      </c>
      <c r="B281" s="4">
        <v>45995</v>
      </c>
      <c r="C281" t="s">
        <v>576</v>
      </c>
      <c r="D281" t="str">
        <f t="shared" si="36"/>
        <v>Chloe Lewis</v>
      </c>
      <c r="E281" t="s">
        <v>611</v>
      </c>
      <c r="F281" t="str">
        <f t="shared" si="37"/>
        <v>United States</v>
      </c>
      <c r="G281" t="s">
        <v>630</v>
      </c>
      <c r="H281" t="s">
        <v>640</v>
      </c>
      <c r="I281">
        <v>3</v>
      </c>
      <c r="J281" s="1">
        <v>78</v>
      </c>
      <c r="K281" s="1">
        <v>45</v>
      </c>
      <c r="L281" s="2">
        <v>0.05</v>
      </c>
      <c r="M281" t="s">
        <v>645</v>
      </c>
      <c r="N281" t="str">
        <f t="shared" si="38"/>
        <v>Bank Transfer</v>
      </c>
      <c r="O281" t="s">
        <v>649</v>
      </c>
      <c r="P281" t="str">
        <f t="shared" si="39"/>
        <v>Pending</v>
      </c>
      <c r="Q281" t="str">
        <f t="shared" si="40"/>
        <v>Valid</v>
      </c>
      <c r="R281" t="s">
        <v>669</v>
      </c>
      <c r="S281">
        <f t="shared" si="41"/>
        <v>222.29999999999998</v>
      </c>
      <c r="T281">
        <f t="shared" si="42"/>
        <v>135</v>
      </c>
      <c r="U281">
        <f t="shared" si="43"/>
        <v>87.299999999999983</v>
      </c>
      <c r="V281" s="8">
        <f t="shared" si="44"/>
        <v>0.39271255060728738</v>
      </c>
    </row>
    <row r="282" spans="1:22" x14ac:dyDescent="0.3">
      <c r="A282" t="s">
        <v>293</v>
      </c>
      <c r="B282" s="4">
        <v>45854</v>
      </c>
      <c r="C282" t="s">
        <v>566</v>
      </c>
      <c r="D282" t="str">
        <f t="shared" si="36"/>
        <v>Lily Hall</v>
      </c>
      <c r="E282" t="s">
        <v>602</v>
      </c>
      <c r="F282" t="str">
        <f t="shared" si="37"/>
        <v>Australia</v>
      </c>
      <c r="G282" t="s">
        <v>630</v>
      </c>
      <c r="H282" t="s">
        <v>640</v>
      </c>
      <c r="I282">
        <v>3</v>
      </c>
      <c r="J282" s="1">
        <v>78</v>
      </c>
      <c r="K282" s="1">
        <v>45</v>
      </c>
      <c r="L282" s="2">
        <v>0</v>
      </c>
      <c r="M282" t="s">
        <v>645</v>
      </c>
      <c r="N282" t="str">
        <f t="shared" si="38"/>
        <v>Bank Transfer</v>
      </c>
      <c r="O282" t="s">
        <v>648</v>
      </c>
      <c r="P282" t="str">
        <f t="shared" si="39"/>
        <v>Completed</v>
      </c>
      <c r="Q282" t="str">
        <f t="shared" si="40"/>
        <v>Valid</v>
      </c>
      <c r="R282" t="s">
        <v>659</v>
      </c>
      <c r="S282">
        <f t="shared" si="41"/>
        <v>234</v>
      </c>
      <c r="T282">
        <f t="shared" si="42"/>
        <v>135</v>
      </c>
      <c r="U282">
        <f t="shared" si="43"/>
        <v>99</v>
      </c>
      <c r="V282" s="8">
        <f t="shared" si="44"/>
        <v>0.42307692307692307</v>
      </c>
    </row>
    <row r="283" spans="1:22" x14ac:dyDescent="0.3">
      <c r="A283" t="s">
        <v>294</v>
      </c>
      <c r="B283" s="4">
        <v>45762</v>
      </c>
      <c r="C283" t="s">
        <v>571</v>
      </c>
      <c r="D283" t="str">
        <f t="shared" si="36"/>
        <v>Henry Clark</v>
      </c>
      <c r="E283" t="s">
        <v>601</v>
      </c>
      <c r="F283" t="str">
        <f t="shared" si="37"/>
        <v>United Kingdom</v>
      </c>
      <c r="G283" t="s">
        <v>632</v>
      </c>
      <c r="H283" t="s">
        <v>639</v>
      </c>
      <c r="I283">
        <v>3</v>
      </c>
      <c r="J283" s="1">
        <v>42</v>
      </c>
      <c r="K283" s="1">
        <v>21</v>
      </c>
      <c r="L283" s="2">
        <v>0</v>
      </c>
      <c r="M283" t="s">
        <v>646</v>
      </c>
      <c r="N283" t="str">
        <f t="shared" si="38"/>
        <v>Debit Card</v>
      </c>
      <c r="O283" t="s">
        <v>650</v>
      </c>
      <c r="P283" t="str">
        <f t="shared" si="39"/>
        <v>Cancelled</v>
      </c>
      <c r="Q283" t="str">
        <f t="shared" si="40"/>
        <v>Valid</v>
      </c>
      <c r="R283" t="s">
        <v>664</v>
      </c>
      <c r="S283">
        <f t="shared" si="41"/>
        <v>126</v>
      </c>
      <c r="T283">
        <f t="shared" si="42"/>
        <v>63</v>
      </c>
      <c r="U283">
        <f t="shared" si="43"/>
        <v>63</v>
      </c>
      <c r="V283" s="8">
        <f t="shared" si="44"/>
        <v>0.5</v>
      </c>
    </row>
    <row r="284" spans="1:22" x14ac:dyDescent="0.3">
      <c r="A284" t="s">
        <v>295</v>
      </c>
      <c r="B284" s="4">
        <v>45923</v>
      </c>
      <c r="C284" t="s">
        <v>571</v>
      </c>
      <c r="D284" t="str">
        <f t="shared" si="36"/>
        <v>Henry Clark</v>
      </c>
      <c r="E284" t="s">
        <v>606</v>
      </c>
      <c r="F284" t="str">
        <f t="shared" si="37"/>
        <v>Canada</v>
      </c>
      <c r="G284" t="s">
        <v>630</v>
      </c>
      <c r="H284" t="s">
        <v>640</v>
      </c>
      <c r="I284">
        <v>2</v>
      </c>
      <c r="J284" s="1">
        <v>78</v>
      </c>
      <c r="K284" s="1">
        <v>45</v>
      </c>
      <c r="L284" s="2">
        <v>0</v>
      </c>
      <c r="M284" t="s">
        <v>643</v>
      </c>
      <c r="N284" t="str">
        <f t="shared" si="38"/>
        <v>Credit Card</v>
      </c>
      <c r="O284" t="s">
        <v>651</v>
      </c>
      <c r="P284" t="str">
        <f t="shared" si="39"/>
        <v>Shipped</v>
      </c>
      <c r="Q284" t="str">
        <f t="shared" si="40"/>
        <v>Valid</v>
      </c>
      <c r="R284" t="s">
        <v>664</v>
      </c>
      <c r="S284">
        <f t="shared" si="41"/>
        <v>156</v>
      </c>
      <c r="T284">
        <f t="shared" si="42"/>
        <v>90</v>
      </c>
      <c r="U284">
        <f t="shared" si="43"/>
        <v>66</v>
      </c>
      <c r="V284" s="8">
        <f t="shared" si="44"/>
        <v>0.42307692307692307</v>
      </c>
    </row>
    <row r="285" spans="1:22" x14ac:dyDescent="0.3">
      <c r="A285" t="s">
        <v>296</v>
      </c>
      <c r="B285" s="4">
        <v>45985</v>
      </c>
      <c r="C285" t="s">
        <v>584</v>
      </c>
      <c r="D285" t="str">
        <f t="shared" si="36"/>
        <v>James Thompson</v>
      </c>
      <c r="E285" t="s">
        <v>608</v>
      </c>
      <c r="F285" t="str">
        <f t="shared" si="37"/>
        <v>India</v>
      </c>
      <c r="G285" t="s">
        <v>628</v>
      </c>
      <c r="H285" t="s">
        <v>639</v>
      </c>
      <c r="I285">
        <v>2</v>
      </c>
      <c r="J285" s="1">
        <v>18</v>
      </c>
      <c r="K285" s="1">
        <v>7</v>
      </c>
      <c r="L285" s="2">
        <v>0</v>
      </c>
      <c r="M285" t="s">
        <v>644</v>
      </c>
      <c r="N285" t="s">
        <v>644</v>
      </c>
      <c r="O285" t="s">
        <v>648</v>
      </c>
      <c r="P285" t="str">
        <f t="shared" si="39"/>
        <v>Completed</v>
      </c>
      <c r="Q285" t="str">
        <f t="shared" si="40"/>
        <v>Valid</v>
      </c>
      <c r="R285" t="s">
        <v>675</v>
      </c>
      <c r="S285">
        <f t="shared" si="41"/>
        <v>36</v>
      </c>
      <c r="T285">
        <f t="shared" si="42"/>
        <v>14</v>
      </c>
      <c r="U285">
        <f t="shared" si="43"/>
        <v>22</v>
      </c>
      <c r="V285" s="8">
        <f t="shared" si="44"/>
        <v>0.61111111111111116</v>
      </c>
    </row>
    <row r="286" spans="1:22" x14ac:dyDescent="0.3">
      <c r="A286" t="s">
        <v>297</v>
      </c>
      <c r="B286" s="4">
        <v>45924</v>
      </c>
      <c r="C286" t="s">
        <v>571</v>
      </c>
      <c r="D286" t="str">
        <f t="shared" si="36"/>
        <v>Henry Clark</v>
      </c>
      <c r="E286" t="s">
        <v>620</v>
      </c>
      <c r="F286" t="str">
        <f t="shared" si="37"/>
        <v>India</v>
      </c>
      <c r="G286" t="s">
        <v>636</v>
      </c>
      <c r="H286" t="s">
        <v>641</v>
      </c>
      <c r="I286">
        <v>3</v>
      </c>
      <c r="J286" s="1">
        <v>245</v>
      </c>
      <c r="K286" s="1">
        <v>150</v>
      </c>
      <c r="L286" s="2">
        <v>0</v>
      </c>
      <c r="M286" t="s">
        <v>646</v>
      </c>
      <c r="N286" t="str">
        <f t="shared" si="38"/>
        <v>Debit Card</v>
      </c>
      <c r="O286" t="s">
        <v>650</v>
      </c>
      <c r="P286" t="str">
        <f t="shared" si="39"/>
        <v>Cancelled</v>
      </c>
      <c r="Q286" t="str">
        <f t="shared" si="40"/>
        <v>Valid</v>
      </c>
      <c r="R286" t="s">
        <v>664</v>
      </c>
      <c r="S286">
        <f t="shared" si="41"/>
        <v>735</v>
      </c>
      <c r="T286">
        <f t="shared" si="42"/>
        <v>450</v>
      </c>
      <c r="U286">
        <f t="shared" si="43"/>
        <v>285</v>
      </c>
      <c r="V286" s="8">
        <f t="shared" si="44"/>
        <v>0.38775510204081631</v>
      </c>
    </row>
    <row r="287" spans="1:22" x14ac:dyDescent="0.3">
      <c r="A287" t="s">
        <v>298</v>
      </c>
      <c r="B287" s="4">
        <v>45811</v>
      </c>
      <c r="C287" t="s">
        <v>568</v>
      </c>
      <c r="D287" t="str">
        <f t="shared" si="36"/>
        <v>Daniel Harris</v>
      </c>
      <c r="E287" t="s">
        <v>609</v>
      </c>
      <c r="F287" t="str">
        <f t="shared" si="37"/>
        <v>Singapore</v>
      </c>
      <c r="G287" t="s">
        <v>629</v>
      </c>
      <c r="H287" t="s">
        <v>640</v>
      </c>
      <c r="I287">
        <v>1</v>
      </c>
      <c r="J287" s="1">
        <v>92</v>
      </c>
      <c r="K287" s="1">
        <v>53</v>
      </c>
      <c r="L287" s="2">
        <v>0</v>
      </c>
      <c r="M287" t="s">
        <v>643</v>
      </c>
      <c r="N287" t="str">
        <f t="shared" si="38"/>
        <v>Credit Card</v>
      </c>
      <c r="O287" t="s">
        <v>648</v>
      </c>
      <c r="P287" t="str">
        <f t="shared" si="39"/>
        <v>Completed</v>
      </c>
      <c r="Q287" t="str">
        <f t="shared" si="40"/>
        <v>Valid</v>
      </c>
      <c r="R287" t="s">
        <v>666</v>
      </c>
      <c r="S287">
        <f t="shared" si="41"/>
        <v>92</v>
      </c>
      <c r="T287">
        <f t="shared" si="42"/>
        <v>53</v>
      </c>
      <c r="U287">
        <f t="shared" si="43"/>
        <v>39</v>
      </c>
      <c r="V287" s="8">
        <f t="shared" si="44"/>
        <v>0.42391304347826086</v>
      </c>
    </row>
    <row r="288" spans="1:22" x14ac:dyDescent="0.3">
      <c r="A288" t="s">
        <v>299</v>
      </c>
      <c r="B288" s="4">
        <v>45731</v>
      </c>
      <c r="C288" t="s">
        <v>584</v>
      </c>
      <c r="D288" t="str">
        <f t="shared" si="36"/>
        <v>James Thompson</v>
      </c>
      <c r="E288" t="s">
        <v>607</v>
      </c>
      <c r="F288" t="str">
        <f t="shared" si="37"/>
        <v>Germany</v>
      </c>
      <c r="G288" t="s">
        <v>634</v>
      </c>
      <c r="H288" t="s">
        <v>641</v>
      </c>
      <c r="I288">
        <v>2</v>
      </c>
      <c r="J288" s="1">
        <v>59</v>
      </c>
      <c r="K288" s="1">
        <v>30</v>
      </c>
      <c r="L288" s="2">
        <v>0.15</v>
      </c>
      <c r="M288" t="s">
        <v>647</v>
      </c>
      <c r="N288" t="str">
        <f t="shared" si="38"/>
        <v>Credit Card</v>
      </c>
      <c r="O288" t="s">
        <v>651</v>
      </c>
      <c r="P288" t="str">
        <f t="shared" si="39"/>
        <v>Shipped</v>
      </c>
      <c r="Q288" t="str">
        <f t="shared" si="40"/>
        <v>Valid</v>
      </c>
      <c r="R288" t="s">
        <v>675</v>
      </c>
      <c r="S288">
        <f t="shared" si="41"/>
        <v>100.3</v>
      </c>
      <c r="T288">
        <f t="shared" si="42"/>
        <v>60</v>
      </c>
      <c r="U288">
        <f t="shared" si="43"/>
        <v>40.299999999999997</v>
      </c>
      <c r="V288" s="8">
        <f t="shared" si="44"/>
        <v>0.40179461615154533</v>
      </c>
    </row>
    <row r="289" spans="1:22" x14ac:dyDescent="0.3">
      <c r="A289" t="s">
        <v>300</v>
      </c>
      <c r="B289" s="4">
        <v>45743</v>
      </c>
      <c r="C289" t="s">
        <v>565</v>
      </c>
      <c r="D289" t="str">
        <f t="shared" si="36"/>
        <v>Alex Morgan</v>
      </c>
      <c r="E289" t="s">
        <v>604</v>
      </c>
      <c r="F289" t="str">
        <f t="shared" si="37"/>
        <v>United States</v>
      </c>
      <c r="G289" t="s">
        <v>631</v>
      </c>
      <c r="H289" t="s">
        <v>641</v>
      </c>
      <c r="I289">
        <v>1</v>
      </c>
      <c r="J289" s="1">
        <v>85</v>
      </c>
      <c r="K289" s="1">
        <v>44</v>
      </c>
      <c r="L289" s="2">
        <v>0.1</v>
      </c>
      <c r="M289" t="s">
        <v>644</v>
      </c>
      <c r="N289" t="s">
        <v>644</v>
      </c>
      <c r="O289" t="s">
        <v>648</v>
      </c>
      <c r="P289" t="str">
        <f t="shared" si="39"/>
        <v>Completed</v>
      </c>
      <c r="Q289" t="str">
        <f t="shared" si="40"/>
        <v>Valid</v>
      </c>
      <c r="R289" t="s">
        <v>658</v>
      </c>
      <c r="S289">
        <f t="shared" si="41"/>
        <v>76.5</v>
      </c>
      <c r="T289">
        <f t="shared" si="42"/>
        <v>44</v>
      </c>
      <c r="U289">
        <f t="shared" si="43"/>
        <v>32.5</v>
      </c>
      <c r="V289" s="8">
        <f t="shared" si="44"/>
        <v>0.42483660130718953</v>
      </c>
    </row>
    <row r="290" spans="1:22" x14ac:dyDescent="0.3">
      <c r="A290" t="s">
        <v>301</v>
      </c>
      <c r="B290" s="4">
        <v>45888</v>
      </c>
      <c r="C290" t="s">
        <v>572</v>
      </c>
      <c r="D290" t="str">
        <f t="shared" si="36"/>
        <v>Olivia Davis</v>
      </c>
      <c r="E290" t="s">
        <v>604</v>
      </c>
      <c r="F290" t="str">
        <f t="shared" si="37"/>
        <v>United States</v>
      </c>
      <c r="G290" t="s">
        <v>636</v>
      </c>
      <c r="H290" t="s">
        <v>641</v>
      </c>
      <c r="I290">
        <v>5</v>
      </c>
      <c r="J290" s="1">
        <v>245</v>
      </c>
      <c r="K290" s="1">
        <v>150</v>
      </c>
      <c r="L290" s="2">
        <v>0.05</v>
      </c>
      <c r="M290" t="s">
        <v>643</v>
      </c>
      <c r="N290" t="str">
        <f t="shared" si="38"/>
        <v>Credit Card</v>
      </c>
      <c r="O290" t="s">
        <v>648</v>
      </c>
      <c r="P290" t="str">
        <f t="shared" si="39"/>
        <v>Completed</v>
      </c>
      <c r="Q290" t="str">
        <f t="shared" si="40"/>
        <v>Valid</v>
      </c>
      <c r="R290" t="s">
        <v>665</v>
      </c>
      <c r="S290">
        <f t="shared" si="41"/>
        <v>1163.75</v>
      </c>
      <c r="T290">
        <f t="shared" si="42"/>
        <v>750</v>
      </c>
      <c r="U290">
        <f t="shared" si="43"/>
        <v>413.75</v>
      </c>
      <c r="V290" s="8">
        <f t="shared" si="44"/>
        <v>0.35553168635875404</v>
      </c>
    </row>
    <row r="291" spans="1:22" x14ac:dyDescent="0.3">
      <c r="A291" t="s">
        <v>302</v>
      </c>
      <c r="B291" s="4">
        <v>45665</v>
      </c>
      <c r="C291" t="s">
        <v>566</v>
      </c>
      <c r="D291" t="str">
        <f t="shared" si="36"/>
        <v>Lily Hall</v>
      </c>
      <c r="E291" t="s">
        <v>613</v>
      </c>
      <c r="F291" t="str">
        <f t="shared" si="37"/>
        <v>Singapore</v>
      </c>
      <c r="G291" t="s">
        <v>627</v>
      </c>
      <c r="H291" t="s">
        <v>639</v>
      </c>
      <c r="I291">
        <v>5</v>
      </c>
      <c r="J291" s="1">
        <v>38</v>
      </c>
      <c r="K291" s="1">
        <v>17</v>
      </c>
      <c r="L291" s="2">
        <v>0</v>
      </c>
      <c r="M291" t="s">
        <v>643</v>
      </c>
      <c r="N291" t="str">
        <f t="shared" si="38"/>
        <v>Credit Card</v>
      </c>
      <c r="O291" t="s">
        <v>648</v>
      </c>
      <c r="P291" t="str">
        <f t="shared" si="39"/>
        <v>Completed</v>
      </c>
      <c r="Q291" t="str">
        <f t="shared" si="40"/>
        <v>Valid</v>
      </c>
      <c r="R291" t="s">
        <v>659</v>
      </c>
      <c r="S291">
        <f t="shared" si="41"/>
        <v>190</v>
      </c>
      <c r="T291">
        <f t="shared" si="42"/>
        <v>85</v>
      </c>
      <c r="U291">
        <f t="shared" si="43"/>
        <v>105</v>
      </c>
      <c r="V291" s="8">
        <f t="shared" si="44"/>
        <v>0.55263157894736847</v>
      </c>
    </row>
    <row r="292" spans="1:22" x14ac:dyDescent="0.3">
      <c r="A292" t="s">
        <v>303</v>
      </c>
      <c r="B292" s="4">
        <v>45997</v>
      </c>
      <c r="C292" t="s">
        <v>566</v>
      </c>
      <c r="D292" t="str">
        <f t="shared" si="36"/>
        <v>Lily Hall</v>
      </c>
      <c r="E292" t="s">
        <v>622</v>
      </c>
      <c r="F292" t="str">
        <f t="shared" si="37"/>
        <v>United Arab Emirates</v>
      </c>
      <c r="G292" t="s">
        <v>637</v>
      </c>
      <c r="H292" t="s">
        <v>641</v>
      </c>
      <c r="I292">
        <v>3</v>
      </c>
      <c r="J292" s="1">
        <v>175</v>
      </c>
      <c r="K292" s="1">
        <v>105</v>
      </c>
      <c r="L292" s="2">
        <v>0</v>
      </c>
      <c r="M292" t="s">
        <v>645</v>
      </c>
      <c r="N292" t="str">
        <f t="shared" si="38"/>
        <v>Bank Transfer</v>
      </c>
      <c r="O292" t="s">
        <v>650</v>
      </c>
      <c r="P292" t="str">
        <f t="shared" si="39"/>
        <v>Cancelled</v>
      </c>
      <c r="Q292" t="str">
        <f t="shared" si="40"/>
        <v>Valid</v>
      </c>
      <c r="R292" t="s">
        <v>659</v>
      </c>
      <c r="S292">
        <f t="shared" si="41"/>
        <v>525</v>
      </c>
      <c r="T292">
        <f t="shared" si="42"/>
        <v>315</v>
      </c>
      <c r="U292">
        <f t="shared" si="43"/>
        <v>210</v>
      </c>
      <c r="V292" s="8">
        <f t="shared" si="44"/>
        <v>0.4</v>
      </c>
    </row>
    <row r="293" spans="1:22" x14ac:dyDescent="0.3">
      <c r="A293" t="s">
        <v>304</v>
      </c>
      <c r="B293" s="4">
        <v>45675</v>
      </c>
      <c r="C293" t="s">
        <v>584</v>
      </c>
      <c r="D293" t="str">
        <f t="shared" si="36"/>
        <v>James Thompson</v>
      </c>
      <c r="E293" t="s">
        <v>608</v>
      </c>
      <c r="F293" t="str">
        <f t="shared" si="37"/>
        <v>India</v>
      </c>
      <c r="G293" t="s">
        <v>627</v>
      </c>
      <c r="H293" t="s">
        <v>639</v>
      </c>
      <c r="I293">
        <v>1</v>
      </c>
      <c r="J293" s="1">
        <v>38</v>
      </c>
      <c r="K293" s="1">
        <v>17</v>
      </c>
      <c r="L293" s="2">
        <v>0</v>
      </c>
      <c r="M293" t="s">
        <v>645</v>
      </c>
      <c r="N293" t="str">
        <f t="shared" si="38"/>
        <v>Bank Transfer</v>
      </c>
      <c r="O293" t="s">
        <v>649</v>
      </c>
      <c r="P293" t="str">
        <f t="shared" si="39"/>
        <v>Pending</v>
      </c>
      <c r="Q293" t="str">
        <f t="shared" si="40"/>
        <v>Valid</v>
      </c>
      <c r="R293" t="s">
        <v>675</v>
      </c>
      <c r="S293">
        <f t="shared" si="41"/>
        <v>38</v>
      </c>
      <c r="T293">
        <f t="shared" si="42"/>
        <v>17</v>
      </c>
      <c r="U293">
        <f t="shared" si="43"/>
        <v>21</v>
      </c>
      <c r="V293" s="8">
        <f t="shared" si="44"/>
        <v>0.55263157894736847</v>
      </c>
    </row>
    <row r="294" spans="1:22" x14ac:dyDescent="0.3">
      <c r="A294" t="s">
        <v>305</v>
      </c>
      <c r="B294" s="4">
        <v>45669</v>
      </c>
      <c r="C294" t="s">
        <v>573</v>
      </c>
      <c r="D294" t="str">
        <f t="shared" si="36"/>
        <v>Noah Brown</v>
      </c>
      <c r="E294" t="s">
        <v>622</v>
      </c>
      <c r="F294" t="str">
        <f t="shared" si="37"/>
        <v>United Arab Emirates</v>
      </c>
      <c r="G294" t="s">
        <v>628</v>
      </c>
      <c r="H294" t="s">
        <v>639</v>
      </c>
      <c r="I294">
        <v>1</v>
      </c>
      <c r="J294" s="1">
        <v>18</v>
      </c>
      <c r="K294" s="1">
        <v>7</v>
      </c>
      <c r="L294" s="2">
        <v>0.05</v>
      </c>
      <c r="M294" t="s">
        <v>642</v>
      </c>
      <c r="N294" t="s">
        <v>644</v>
      </c>
      <c r="O294" t="s">
        <v>648</v>
      </c>
      <c r="P294" t="str">
        <f t="shared" si="39"/>
        <v>Completed</v>
      </c>
      <c r="Q294" t="str">
        <f t="shared" si="40"/>
        <v>Valid</v>
      </c>
      <c r="R294" t="s">
        <v>667</v>
      </c>
      <c r="S294">
        <f t="shared" si="41"/>
        <v>17.099999999999998</v>
      </c>
      <c r="T294">
        <f t="shared" si="42"/>
        <v>7</v>
      </c>
      <c r="U294">
        <f t="shared" si="43"/>
        <v>10.099999999999998</v>
      </c>
      <c r="V294" s="8">
        <f t="shared" si="44"/>
        <v>0.59064327485380108</v>
      </c>
    </row>
    <row r="295" spans="1:22" x14ac:dyDescent="0.3">
      <c r="A295" t="s">
        <v>306</v>
      </c>
      <c r="B295" s="4">
        <v>45700</v>
      </c>
      <c r="C295" t="s">
        <v>577</v>
      </c>
      <c r="D295" t="str">
        <f t="shared" si="36"/>
        <v>Emma Wilson</v>
      </c>
      <c r="E295" t="s">
        <v>605</v>
      </c>
      <c r="F295" t="str">
        <f t="shared" si="37"/>
        <v>Singapore</v>
      </c>
      <c r="G295" t="s">
        <v>629</v>
      </c>
      <c r="H295" t="s">
        <v>640</v>
      </c>
      <c r="I295">
        <v>1</v>
      </c>
      <c r="J295" s="1">
        <v>92</v>
      </c>
      <c r="K295" s="1">
        <v>53</v>
      </c>
      <c r="L295" s="2">
        <v>0.05</v>
      </c>
      <c r="M295" t="s">
        <v>642</v>
      </c>
      <c r="N295" t="s">
        <v>644</v>
      </c>
      <c r="O295" t="s">
        <v>648</v>
      </c>
      <c r="P295" t="str">
        <f t="shared" si="39"/>
        <v>Completed</v>
      </c>
      <c r="Q295" t="str">
        <f t="shared" si="40"/>
        <v>Valid</v>
      </c>
      <c r="R295" t="s">
        <v>670</v>
      </c>
      <c r="S295">
        <f t="shared" si="41"/>
        <v>87.399999999999991</v>
      </c>
      <c r="T295">
        <f t="shared" si="42"/>
        <v>53</v>
      </c>
      <c r="U295">
        <f t="shared" si="43"/>
        <v>34.399999999999991</v>
      </c>
      <c r="V295" s="8">
        <f t="shared" si="44"/>
        <v>0.39359267734553771</v>
      </c>
    </row>
    <row r="296" spans="1:22" x14ac:dyDescent="0.3">
      <c r="A296" t="s">
        <v>307</v>
      </c>
      <c r="B296" s="4">
        <v>45945</v>
      </c>
      <c r="C296" t="s">
        <v>583</v>
      </c>
      <c r="D296" t="str">
        <f t="shared" si="36"/>
        <v>Ethan Anderson</v>
      </c>
      <c r="E296" t="s">
        <v>611</v>
      </c>
      <c r="F296" t="str">
        <f t="shared" si="37"/>
        <v>United States</v>
      </c>
      <c r="G296" t="s">
        <v>630</v>
      </c>
      <c r="H296" t="s">
        <v>640</v>
      </c>
      <c r="I296">
        <v>2</v>
      </c>
      <c r="J296" s="1">
        <v>78</v>
      </c>
      <c r="K296" s="1">
        <v>45</v>
      </c>
      <c r="L296" s="2">
        <v>0.1</v>
      </c>
      <c r="M296" t="s">
        <v>643</v>
      </c>
      <c r="N296" t="str">
        <f t="shared" si="38"/>
        <v>Credit Card</v>
      </c>
      <c r="O296" t="s">
        <v>648</v>
      </c>
      <c r="P296" t="str">
        <f t="shared" si="39"/>
        <v>Completed</v>
      </c>
      <c r="Q296" t="str">
        <f t="shared" si="40"/>
        <v>Valid</v>
      </c>
      <c r="R296" t="s">
        <v>673</v>
      </c>
      <c r="S296">
        <f t="shared" si="41"/>
        <v>140.4</v>
      </c>
      <c r="T296">
        <f t="shared" si="42"/>
        <v>90</v>
      </c>
      <c r="U296">
        <f t="shared" si="43"/>
        <v>50.400000000000006</v>
      </c>
      <c r="V296" s="8">
        <f t="shared" si="44"/>
        <v>0.35897435897435898</v>
      </c>
    </row>
    <row r="297" spans="1:22" x14ac:dyDescent="0.3">
      <c r="A297" t="s">
        <v>308</v>
      </c>
      <c r="B297" s="4">
        <v>45867</v>
      </c>
      <c r="C297" t="s">
        <v>568</v>
      </c>
      <c r="D297" t="str">
        <f t="shared" si="36"/>
        <v>Daniel Harris</v>
      </c>
      <c r="E297" t="s">
        <v>625</v>
      </c>
      <c r="F297" t="str">
        <f t="shared" si="37"/>
        <v>United States</v>
      </c>
      <c r="G297" t="s">
        <v>630</v>
      </c>
      <c r="H297" t="s">
        <v>640</v>
      </c>
      <c r="I297">
        <v>3</v>
      </c>
      <c r="J297" s="1">
        <v>78</v>
      </c>
      <c r="K297" s="1">
        <v>45</v>
      </c>
      <c r="L297" s="2">
        <v>0.05</v>
      </c>
      <c r="M297" t="s">
        <v>644</v>
      </c>
      <c r="N297" t="s">
        <v>644</v>
      </c>
      <c r="O297" t="s">
        <v>652</v>
      </c>
      <c r="P297" t="str">
        <f t="shared" si="39"/>
        <v>Completed</v>
      </c>
      <c r="Q297" t="str">
        <f t="shared" si="40"/>
        <v>Valid</v>
      </c>
      <c r="R297" t="s">
        <v>666</v>
      </c>
      <c r="S297">
        <f t="shared" si="41"/>
        <v>222.29999999999998</v>
      </c>
      <c r="T297">
        <f t="shared" si="42"/>
        <v>135</v>
      </c>
      <c r="U297">
        <f t="shared" si="43"/>
        <v>87.299999999999983</v>
      </c>
      <c r="V297" s="8">
        <f t="shared" si="44"/>
        <v>0.39271255060728738</v>
      </c>
    </row>
    <row r="298" spans="1:22" x14ac:dyDescent="0.3">
      <c r="A298" t="s">
        <v>309</v>
      </c>
      <c r="B298" s="4">
        <v>45674</v>
      </c>
      <c r="C298" t="s">
        <v>594</v>
      </c>
      <c r="D298" t="str">
        <f t="shared" si="36"/>
        <v>Lucas Jackson</v>
      </c>
      <c r="E298" t="s">
        <v>618</v>
      </c>
      <c r="F298" t="str">
        <f t="shared" si="37"/>
        <v>United Kingdom</v>
      </c>
      <c r="G298" t="s">
        <v>633</v>
      </c>
      <c r="H298" t="s">
        <v>638</v>
      </c>
      <c r="I298">
        <v>1</v>
      </c>
      <c r="J298" s="1">
        <v>210</v>
      </c>
      <c r="K298" s="1">
        <v>125</v>
      </c>
      <c r="L298" s="2">
        <v>0.1</v>
      </c>
      <c r="M298" t="s">
        <v>647</v>
      </c>
      <c r="N298" t="str">
        <f t="shared" si="38"/>
        <v>Credit Card</v>
      </c>
      <c r="O298" t="s">
        <v>648</v>
      </c>
      <c r="P298" t="str">
        <f t="shared" si="39"/>
        <v>Completed</v>
      </c>
      <c r="Q298" t="str">
        <f t="shared" si="40"/>
        <v>Valid</v>
      </c>
      <c r="R298" t="s">
        <v>668</v>
      </c>
      <c r="S298">
        <f t="shared" si="41"/>
        <v>189</v>
      </c>
      <c r="T298">
        <f t="shared" si="42"/>
        <v>125</v>
      </c>
      <c r="U298">
        <f t="shared" si="43"/>
        <v>64</v>
      </c>
      <c r="V298" s="8">
        <f t="shared" si="44"/>
        <v>0.33862433862433861</v>
      </c>
    </row>
    <row r="299" spans="1:22" x14ac:dyDescent="0.3">
      <c r="A299" t="s">
        <v>310</v>
      </c>
      <c r="B299" s="4">
        <v>45682</v>
      </c>
      <c r="C299" t="s">
        <v>595</v>
      </c>
      <c r="D299" t="str">
        <f t="shared" si="36"/>
        <v>Emma Wilson</v>
      </c>
      <c r="E299" t="s">
        <v>622</v>
      </c>
      <c r="F299" t="str">
        <f t="shared" si="37"/>
        <v>United Arab Emirates</v>
      </c>
      <c r="G299" t="s">
        <v>629</v>
      </c>
      <c r="H299" t="s">
        <v>640</v>
      </c>
      <c r="I299">
        <v>1</v>
      </c>
      <c r="J299" s="1">
        <v>92</v>
      </c>
      <c r="K299" s="1">
        <v>53</v>
      </c>
      <c r="L299" s="2">
        <v>0.1</v>
      </c>
      <c r="M299" t="s">
        <v>643</v>
      </c>
      <c r="N299" t="str">
        <f t="shared" si="38"/>
        <v>Credit Card</v>
      </c>
      <c r="O299" t="s">
        <v>651</v>
      </c>
      <c r="P299" t="str">
        <f t="shared" si="39"/>
        <v>Shipped</v>
      </c>
      <c r="Q299" t="str">
        <f t="shared" si="40"/>
        <v>Valid</v>
      </c>
      <c r="R299" t="s">
        <v>670</v>
      </c>
      <c r="S299">
        <f t="shared" si="41"/>
        <v>82.8</v>
      </c>
      <c r="T299">
        <f t="shared" si="42"/>
        <v>53</v>
      </c>
      <c r="U299">
        <f t="shared" si="43"/>
        <v>29.799999999999997</v>
      </c>
      <c r="V299" s="8">
        <f t="shared" si="44"/>
        <v>0.35990338164251207</v>
      </c>
    </row>
    <row r="300" spans="1:22" x14ac:dyDescent="0.3">
      <c r="A300" t="s">
        <v>311</v>
      </c>
      <c r="B300" s="4">
        <v>45996</v>
      </c>
      <c r="C300" t="s">
        <v>583</v>
      </c>
      <c r="D300" t="str">
        <f t="shared" si="36"/>
        <v>Ethan Anderson</v>
      </c>
      <c r="E300" t="s">
        <v>600</v>
      </c>
      <c r="F300" t="str">
        <f t="shared" si="37"/>
        <v>Australia</v>
      </c>
      <c r="G300" t="s">
        <v>632</v>
      </c>
      <c r="H300" t="s">
        <v>639</v>
      </c>
      <c r="I300">
        <v>3</v>
      </c>
      <c r="J300" s="1">
        <v>42</v>
      </c>
      <c r="K300" s="1">
        <v>21</v>
      </c>
      <c r="L300" s="2">
        <v>0</v>
      </c>
      <c r="M300" t="s">
        <v>644</v>
      </c>
      <c r="N300" t="s">
        <v>644</v>
      </c>
      <c r="O300" t="s">
        <v>648</v>
      </c>
      <c r="P300" t="str">
        <f t="shared" si="39"/>
        <v>Completed</v>
      </c>
      <c r="Q300" t="str">
        <f t="shared" si="40"/>
        <v>Valid</v>
      </c>
      <c r="R300" t="s">
        <v>673</v>
      </c>
      <c r="S300">
        <f t="shared" si="41"/>
        <v>126</v>
      </c>
      <c r="T300">
        <f t="shared" si="42"/>
        <v>63</v>
      </c>
      <c r="U300">
        <f t="shared" si="43"/>
        <v>63</v>
      </c>
      <c r="V300" s="8">
        <f t="shared" si="44"/>
        <v>0.5</v>
      </c>
    </row>
    <row r="301" spans="1:22" x14ac:dyDescent="0.3">
      <c r="A301" t="s">
        <v>312</v>
      </c>
      <c r="B301" s="4">
        <v>45842</v>
      </c>
      <c r="C301" t="s">
        <v>576</v>
      </c>
      <c r="D301" t="str">
        <f t="shared" si="36"/>
        <v>Chloe Lewis</v>
      </c>
      <c r="E301" t="s">
        <v>623</v>
      </c>
      <c r="F301" t="str">
        <f t="shared" si="37"/>
        <v>United States</v>
      </c>
      <c r="G301" t="s">
        <v>636</v>
      </c>
      <c r="H301" t="s">
        <v>641</v>
      </c>
      <c r="I301">
        <v>2</v>
      </c>
      <c r="J301" s="1">
        <v>245</v>
      </c>
      <c r="K301" s="1">
        <v>150</v>
      </c>
      <c r="L301" s="2">
        <v>0</v>
      </c>
      <c r="M301" t="s">
        <v>644</v>
      </c>
      <c r="N301" t="s">
        <v>644</v>
      </c>
      <c r="O301" t="s">
        <v>651</v>
      </c>
      <c r="P301" t="str">
        <f t="shared" si="39"/>
        <v>Shipped</v>
      </c>
      <c r="Q301" t="str">
        <f t="shared" si="40"/>
        <v>Valid</v>
      </c>
      <c r="R301" t="s">
        <v>669</v>
      </c>
      <c r="S301">
        <f t="shared" si="41"/>
        <v>490</v>
      </c>
      <c r="T301">
        <f t="shared" si="42"/>
        <v>300</v>
      </c>
      <c r="U301">
        <f t="shared" si="43"/>
        <v>190</v>
      </c>
      <c r="V301" s="8">
        <f t="shared" si="44"/>
        <v>0.38775510204081631</v>
      </c>
    </row>
    <row r="302" spans="1:22" x14ac:dyDescent="0.3">
      <c r="A302" t="s">
        <v>313</v>
      </c>
      <c r="B302" s="4">
        <v>45889</v>
      </c>
      <c r="C302" t="s">
        <v>563</v>
      </c>
      <c r="D302" t="str">
        <f t="shared" si="36"/>
        <v>Liam Miller</v>
      </c>
      <c r="E302" t="s">
        <v>619</v>
      </c>
      <c r="F302" t="str">
        <f t="shared" si="37"/>
        <v>India</v>
      </c>
      <c r="G302" t="s">
        <v>632</v>
      </c>
      <c r="H302" t="s">
        <v>639</v>
      </c>
      <c r="I302">
        <v>3</v>
      </c>
      <c r="J302" s="1">
        <v>42</v>
      </c>
      <c r="K302" s="1">
        <v>21</v>
      </c>
      <c r="L302" s="2">
        <v>0</v>
      </c>
      <c r="M302" t="s">
        <v>642</v>
      </c>
      <c r="N302" t="s">
        <v>644</v>
      </c>
      <c r="O302" t="s">
        <v>648</v>
      </c>
      <c r="P302" t="str">
        <f t="shared" si="39"/>
        <v>Completed</v>
      </c>
      <c r="Q302" t="str">
        <f t="shared" si="40"/>
        <v>Valid</v>
      </c>
      <c r="R302" t="s">
        <v>656</v>
      </c>
      <c r="S302">
        <f t="shared" si="41"/>
        <v>126</v>
      </c>
      <c r="T302">
        <f t="shared" si="42"/>
        <v>63</v>
      </c>
      <c r="U302">
        <f t="shared" si="43"/>
        <v>63</v>
      </c>
      <c r="V302" s="8">
        <f t="shared" si="44"/>
        <v>0.5</v>
      </c>
    </row>
    <row r="303" spans="1:22" x14ac:dyDescent="0.3">
      <c r="A303" t="s">
        <v>314</v>
      </c>
      <c r="B303" s="4">
        <v>45913</v>
      </c>
      <c r="C303" t="s">
        <v>568</v>
      </c>
      <c r="D303" t="str">
        <f t="shared" si="36"/>
        <v>Daniel Harris</v>
      </c>
      <c r="E303" t="s">
        <v>606</v>
      </c>
      <c r="F303" t="str">
        <f t="shared" si="37"/>
        <v>Canada</v>
      </c>
      <c r="G303" t="s">
        <v>627</v>
      </c>
      <c r="H303" t="s">
        <v>639</v>
      </c>
      <c r="I303">
        <v>2</v>
      </c>
      <c r="J303" s="1">
        <v>38</v>
      </c>
      <c r="K303" s="1">
        <v>17</v>
      </c>
      <c r="L303" s="2">
        <v>0</v>
      </c>
      <c r="M303" t="s">
        <v>647</v>
      </c>
      <c r="N303" t="str">
        <f t="shared" si="38"/>
        <v>Credit Card</v>
      </c>
      <c r="O303" t="s">
        <v>648</v>
      </c>
      <c r="P303" t="str">
        <f t="shared" si="39"/>
        <v>Completed</v>
      </c>
      <c r="Q303" t="str">
        <f t="shared" si="40"/>
        <v>Invalid</v>
      </c>
      <c r="R303" t="s">
        <v>661</v>
      </c>
      <c r="S303">
        <f t="shared" si="41"/>
        <v>76</v>
      </c>
      <c r="T303">
        <f t="shared" si="42"/>
        <v>34</v>
      </c>
      <c r="U303">
        <f t="shared" si="43"/>
        <v>42</v>
      </c>
      <c r="V303" s="8">
        <f t="shared" si="44"/>
        <v>0.55263157894736847</v>
      </c>
    </row>
    <row r="304" spans="1:22" x14ac:dyDescent="0.3">
      <c r="A304" t="s">
        <v>315</v>
      </c>
      <c r="B304" s="4">
        <v>45785</v>
      </c>
      <c r="C304" t="s">
        <v>584</v>
      </c>
      <c r="D304" t="str">
        <f t="shared" si="36"/>
        <v>James Thompson</v>
      </c>
      <c r="E304" t="s">
        <v>611</v>
      </c>
      <c r="F304" t="str">
        <f t="shared" si="37"/>
        <v>United States</v>
      </c>
      <c r="G304" t="s">
        <v>635</v>
      </c>
      <c r="H304" t="s">
        <v>639</v>
      </c>
      <c r="I304">
        <v>3</v>
      </c>
      <c r="J304" s="1">
        <v>65</v>
      </c>
      <c r="K304" s="1">
        <v>31</v>
      </c>
      <c r="L304" s="2">
        <v>0</v>
      </c>
      <c r="M304" t="s">
        <v>643</v>
      </c>
      <c r="N304" t="str">
        <f t="shared" si="38"/>
        <v>Credit Card</v>
      </c>
      <c r="O304" t="s">
        <v>649</v>
      </c>
      <c r="P304" t="str">
        <f t="shared" si="39"/>
        <v>Pending</v>
      </c>
      <c r="Q304" t="str">
        <f t="shared" si="40"/>
        <v>Missing</v>
      </c>
      <c r="S304">
        <f t="shared" si="41"/>
        <v>195</v>
      </c>
      <c r="T304">
        <f t="shared" si="42"/>
        <v>93</v>
      </c>
      <c r="U304">
        <f t="shared" si="43"/>
        <v>102</v>
      </c>
      <c r="V304" s="8">
        <f t="shared" si="44"/>
        <v>0.52307692307692311</v>
      </c>
    </row>
    <row r="305" spans="1:22" x14ac:dyDescent="0.3">
      <c r="A305" t="s">
        <v>316</v>
      </c>
      <c r="B305" s="4">
        <v>45771</v>
      </c>
      <c r="C305" t="s">
        <v>567</v>
      </c>
      <c r="D305" t="str">
        <f t="shared" si="36"/>
        <v>Sophia Taylor</v>
      </c>
      <c r="E305" t="s">
        <v>618</v>
      </c>
      <c r="F305" t="str">
        <f t="shared" si="37"/>
        <v>United Kingdom</v>
      </c>
      <c r="G305" t="s">
        <v>634</v>
      </c>
      <c r="H305" t="s">
        <v>641</v>
      </c>
      <c r="I305">
        <v>5</v>
      </c>
      <c r="J305" s="1">
        <v>59</v>
      </c>
      <c r="K305" s="1">
        <v>30</v>
      </c>
      <c r="L305" s="2">
        <v>0.15</v>
      </c>
      <c r="M305" t="s">
        <v>645</v>
      </c>
      <c r="N305" t="str">
        <f t="shared" si="38"/>
        <v>Bank Transfer</v>
      </c>
      <c r="O305" t="s">
        <v>651</v>
      </c>
      <c r="P305" t="str">
        <f t="shared" si="39"/>
        <v>Shipped</v>
      </c>
      <c r="Q305" t="str">
        <f t="shared" si="40"/>
        <v>Valid</v>
      </c>
      <c r="R305" t="s">
        <v>660</v>
      </c>
      <c r="S305">
        <f t="shared" si="41"/>
        <v>250.75</v>
      </c>
      <c r="T305">
        <f t="shared" si="42"/>
        <v>150</v>
      </c>
      <c r="U305">
        <f t="shared" si="43"/>
        <v>100.75</v>
      </c>
      <c r="V305" s="8">
        <f t="shared" si="44"/>
        <v>0.40179461615154538</v>
      </c>
    </row>
    <row r="306" spans="1:22" x14ac:dyDescent="0.3">
      <c r="A306" t="s">
        <v>317</v>
      </c>
      <c r="B306" s="4">
        <v>45658</v>
      </c>
      <c r="C306" t="s">
        <v>580</v>
      </c>
      <c r="D306" t="str">
        <f t="shared" si="36"/>
        <v>Benjamin Walker</v>
      </c>
      <c r="E306" t="s">
        <v>618</v>
      </c>
      <c r="F306" t="str">
        <f t="shared" si="37"/>
        <v>United Kingdom</v>
      </c>
      <c r="G306" t="s">
        <v>631</v>
      </c>
      <c r="H306" t="s">
        <v>641</v>
      </c>
      <c r="I306">
        <v>1</v>
      </c>
      <c r="J306" s="1">
        <v>85</v>
      </c>
      <c r="K306" s="1">
        <v>44</v>
      </c>
      <c r="L306" s="2">
        <v>0.15</v>
      </c>
      <c r="M306" t="s">
        <v>645</v>
      </c>
      <c r="N306" t="str">
        <f t="shared" si="38"/>
        <v>Bank Transfer</v>
      </c>
      <c r="O306" t="s">
        <v>648</v>
      </c>
      <c r="P306" t="str">
        <f t="shared" si="39"/>
        <v>Completed</v>
      </c>
      <c r="Q306" t="str">
        <f t="shared" si="40"/>
        <v>Valid</v>
      </c>
      <c r="R306" t="s">
        <v>672</v>
      </c>
      <c r="S306">
        <f t="shared" si="41"/>
        <v>72.25</v>
      </c>
      <c r="T306">
        <f t="shared" si="42"/>
        <v>44</v>
      </c>
      <c r="U306">
        <f t="shared" si="43"/>
        <v>28.25</v>
      </c>
      <c r="V306" s="8">
        <f t="shared" si="44"/>
        <v>0.39100346020761245</v>
      </c>
    </row>
    <row r="307" spans="1:22" x14ac:dyDescent="0.3">
      <c r="A307" t="s">
        <v>318</v>
      </c>
      <c r="B307" s="4">
        <v>45701</v>
      </c>
      <c r="C307" t="s">
        <v>584</v>
      </c>
      <c r="D307" t="str">
        <f t="shared" si="36"/>
        <v>James Thompson</v>
      </c>
      <c r="E307" t="s">
        <v>603</v>
      </c>
      <c r="F307" t="str">
        <f t="shared" si="37"/>
        <v>Germany</v>
      </c>
      <c r="G307" t="s">
        <v>637</v>
      </c>
      <c r="H307" t="s">
        <v>641</v>
      </c>
      <c r="I307">
        <v>1</v>
      </c>
      <c r="J307" s="1">
        <v>175</v>
      </c>
      <c r="K307" s="1">
        <v>105</v>
      </c>
      <c r="L307" s="2">
        <v>0</v>
      </c>
      <c r="M307" t="s">
        <v>645</v>
      </c>
      <c r="N307" t="str">
        <f t="shared" si="38"/>
        <v>Bank Transfer</v>
      </c>
      <c r="O307" t="s">
        <v>649</v>
      </c>
      <c r="P307" t="str">
        <f t="shared" si="39"/>
        <v>Pending</v>
      </c>
      <c r="Q307" t="str">
        <f t="shared" si="40"/>
        <v>Valid</v>
      </c>
      <c r="R307" t="s">
        <v>675</v>
      </c>
      <c r="S307">
        <f t="shared" si="41"/>
        <v>175</v>
      </c>
      <c r="T307">
        <f t="shared" si="42"/>
        <v>105</v>
      </c>
      <c r="U307">
        <f t="shared" si="43"/>
        <v>70</v>
      </c>
      <c r="V307" s="8">
        <f t="shared" si="44"/>
        <v>0.4</v>
      </c>
    </row>
    <row r="308" spans="1:22" x14ac:dyDescent="0.3">
      <c r="A308" t="s">
        <v>319</v>
      </c>
      <c r="B308" s="4">
        <v>45983</v>
      </c>
      <c r="C308" t="s">
        <v>569</v>
      </c>
      <c r="D308" t="str">
        <f t="shared" si="36"/>
        <v>Mia White</v>
      </c>
      <c r="E308" t="s">
        <v>607</v>
      </c>
      <c r="F308" t="str">
        <f t="shared" si="37"/>
        <v>Germany</v>
      </c>
      <c r="G308" t="s">
        <v>632</v>
      </c>
      <c r="H308" t="s">
        <v>639</v>
      </c>
      <c r="I308">
        <v>5</v>
      </c>
      <c r="J308" s="1">
        <v>42</v>
      </c>
      <c r="K308" s="1">
        <v>21</v>
      </c>
      <c r="L308" s="2">
        <v>0</v>
      </c>
      <c r="M308" t="s">
        <v>643</v>
      </c>
      <c r="N308" t="str">
        <f t="shared" si="38"/>
        <v>Credit Card</v>
      </c>
      <c r="O308" t="s">
        <v>648</v>
      </c>
      <c r="P308" t="str">
        <f t="shared" si="39"/>
        <v>Completed</v>
      </c>
      <c r="Q308" t="str">
        <f t="shared" si="40"/>
        <v>Valid</v>
      </c>
      <c r="R308" t="s">
        <v>662</v>
      </c>
      <c r="S308">
        <f t="shared" si="41"/>
        <v>210</v>
      </c>
      <c r="T308">
        <f t="shared" si="42"/>
        <v>105</v>
      </c>
      <c r="U308">
        <f t="shared" si="43"/>
        <v>105</v>
      </c>
      <c r="V308" s="8">
        <f t="shared" si="44"/>
        <v>0.5</v>
      </c>
    </row>
    <row r="309" spans="1:22" x14ac:dyDescent="0.3">
      <c r="A309" t="s">
        <v>320</v>
      </c>
      <c r="B309" s="4">
        <v>45921</v>
      </c>
      <c r="C309" t="s">
        <v>571</v>
      </c>
      <c r="D309" t="str">
        <f t="shared" si="36"/>
        <v>Henry Clark</v>
      </c>
      <c r="E309" t="s">
        <v>620</v>
      </c>
      <c r="F309" t="str">
        <f t="shared" si="37"/>
        <v>India</v>
      </c>
      <c r="G309" t="s">
        <v>629</v>
      </c>
      <c r="H309" t="s">
        <v>640</v>
      </c>
      <c r="I309">
        <v>3</v>
      </c>
      <c r="J309" s="1">
        <v>92</v>
      </c>
      <c r="K309" s="1">
        <v>53</v>
      </c>
      <c r="L309" s="2">
        <v>0</v>
      </c>
      <c r="M309" t="s">
        <v>647</v>
      </c>
      <c r="N309" t="str">
        <f t="shared" si="38"/>
        <v>Credit Card</v>
      </c>
      <c r="O309" t="s">
        <v>648</v>
      </c>
      <c r="P309" t="str">
        <f t="shared" si="39"/>
        <v>Completed</v>
      </c>
      <c r="Q309" t="str">
        <f t="shared" si="40"/>
        <v>Valid</v>
      </c>
      <c r="R309" t="s">
        <v>664</v>
      </c>
      <c r="S309">
        <f t="shared" si="41"/>
        <v>276</v>
      </c>
      <c r="T309">
        <f t="shared" si="42"/>
        <v>159</v>
      </c>
      <c r="U309">
        <f t="shared" si="43"/>
        <v>117</v>
      </c>
      <c r="V309" s="8">
        <f t="shared" si="44"/>
        <v>0.42391304347826086</v>
      </c>
    </row>
    <row r="310" spans="1:22" x14ac:dyDescent="0.3">
      <c r="A310" t="s">
        <v>321</v>
      </c>
      <c r="B310" s="4">
        <v>45880</v>
      </c>
      <c r="C310" t="s">
        <v>568</v>
      </c>
      <c r="D310" t="str">
        <f t="shared" si="36"/>
        <v>Daniel Harris</v>
      </c>
      <c r="E310" t="s">
        <v>618</v>
      </c>
      <c r="F310" t="str">
        <f t="shared" si="37"/>
        <v>United Kingdom</v>
      </c>
      <c r="G310" t="s">
        <v>629</v>
      </c>
      <c r="H310" t="s">
        <v>640</v>
      </c>
      <c r="I310">
        <v>5</v>
      </c>
      <c r="J310" s="1">
        <v>92</v>
      </c>
      <c r="K310" s="1">
        <v>53</v>
      </c>
      <c r="L310" s="2">
        <v>0</v>
      </c>
      <c r="M310" t="s">
        <v>645</v>
      </c>
      <c r="N310" t="str">
        <f t="shared" si="38"/>
        <v>Bank Transfer</v>
      </c>
      <c r="O310" t="s">
        <v>649</v>
      </c>
      <c r="P310" t="str">
        <f t="shared" si="39"/>
        <v>Pending</v>
      </c>
      <c r="Q310" t="str">
        <f t="shared" si="40"/>
        <v>Valid</v>
      </c>
      <c r="R310" t="s">
        <v>666</v>
      </c>
      <c r="S310">
        <f t="shared" si="41"/>
        <v>460</v>
      </c>
      <c r="T310">
        <f t="shared" si="42"/>
        <v>265</v>
      </c>
      <c r="U310">
        <f t="shared" si="43"/>
        <v>195</v>
      </c>
      <c r="V310" s="8">
        <f t="shared" si="44"/>
        <v>0.42391304347826086</v>
      </c>
    </row>
    <row r="311" spans="1:22" x14ac:dyDescent="0.3">
      <c r="A311" t="s">
        <v>322</v>
      </c>
      <c r="B311" s="4">
        <v>45946</v>
      </c>
      <c r="C311" t="s">
        <v>571</v>
      </c>
      <c r="D311" t="str">
        <f t="shared" si="36"/>
        <v>Henry Clark</v>
      </c>
      <c r="E311" t="s">
        <v>615</v>
      </c>
      <c r="F311" t="str">
        <f t="shared" si="37"/>
        <v>Canada</v>
      </c>
      <c r="G311" t="s">
        <v>637</v>
      </c>
      <c r="H311" t="s">
        <v>641</v>
      </c>
      <c r="I311">
        <v>2</v>
      </c>
      <c r="J311" s="1">
        <v>175</v>
      </c>
      <c r="K311" s="1">
        <v>105</v>
      </c>
      <c r="L311" s="2">
        <v>0</v>
      </c>
      <c r="M311" t="s">
        <v>642</v>
      </c>
      <c r="N311" t="s">
        <v>644</v>
      </c>
      <c r="O311" t="s">
        <v>651</v>
      </c>
      <c r="P311" t="str">
        <f t="shared" si="39"/>
        <v>Shipped</v>
      </c>
      <c r="Q311" t="str">
        <f t="shared" si="40"/>
        <v>Valid</v>
      </c>
      <c r="R311" t="s">
        <v>664</v>
      </c>
      <c r="S311">
        <f t="shared" si="41"/>
        <v>350</v>
      </c>
      <c r="T311">
        <f t="shared" si="42"/>
        <v>210</v>
      </c>
      <c r="U311">
        <f t="shared" si="43"/>
        <v>140</v>
      </c>
      <c r="V311" s="8">
        <f t="shared" si="44"/>
        <v>0.4</v>
      </c>
    </row>
    <row r="312" spans="1:22" x14ac:dyDescent="0.3">
      <c r="A312" t="s">
        <v>323</v>
      </c>
      <c r="B312" s="4">
        <v>45979</v>
      </c>
      <c r="C312" t="s">
        <v>585</v>
      </c>
      <c r="D312" t="str">
        <f t="shared" si="36"/>
        <v>Benjamin Walker</v>
      </c>
      <c r="E312" t="s">
        <v>608</v>
      </c>
      <c r="F312" t="str">
        <f t="shared" si="37"/>
        <v>India</v>
      </c>
      <c r="G312" t="s">
        <v>629</v>
      </c>
      <c r="H312" t="s">
        <v>640</v>
      </c>
      <c r="I312">
        <v>4</v>
      </c>
      <c r="J312" s="1">
        <v>92</v>
      </c>
      <c r="K312" s="1">
        <v>53</v>
      </c>
      <c r="L312" s="2">
        <v>0.15</v>
      </c>
      <c r="M312" t="s">
        <v>643</v>
      </c>
      <c r="N312" t="str">
        <f t="shared" si="38"/>
        <v>Credit Card</v>
      </c>
      <c r="O312" t="s">
        <v>650</v>
      </c>
      <c r="P312" t="str">
        <f t="shared" si="39"/>
        <v>Cancelled</v>
      </c>
      <c r="Q312" t="str">
        <f t="shared" si="40"/>
        <v>Missing</v>
      </c>
      <c r="S312">
        <f t="shared" si="41"/>
        <v>312.8</v>
      </c>
      <c r="T312">
        <f t="shared" si="42"/>
        <v>212</v>
      </c>
      <c r="U312">
        <f t="shared" si="43"/>
        <v>100.80000000000001</v>
      </c>
      <c r="V312" s="8">
        <f t="shared" si="44"/>
        <v>0.32225063938618931</v>
      </c>
    </row>
    <row r="313" spans="1:22" x14ac:dyDescent="0.3">
      <c r="A313" t="s">
        <v>324</v>
      </c>
      <c r="B313" s="4">
        <v>45978</v>
      </c>
      <c r="C313" t="s">
        <v>575</v>
      </c>
      <c r="D313" t="str">
        <f t="shared" si="36"/>
        <v>Lucas Jackson</v>
      </c>
      <c r="E313" t="s">
        <v>608</v>
      </c>
      <c r="F313" t="str">
        <f t="shared" si="37"/>
        <v>India</v>
      </c>
      <c r="G313" t="s">
        <v>633</v>
      </c>
      <c r="H313" t="s">
        <v>638</v>
      </c>
      <c r="I313">
        <v>2</v>
      </c>
      <c r="J313" s="1">
        <v>210</v>
      </c>
      <c r="K313" s="1">
        <v>125</v>
      </c>
      <c r="L313" s="2">
        <v>0</v>
      </c>
      <c r="M313" t="s">
        <v>647</v>
      </c>
      <c r="N313" t="str">
        <f t="shared" si="38"/>
        <v>Credit Card</v>
      </c>
      <c r="O313" t="s">
        <v>650</v>
      </c>
      <c r="P313" t="str">
        <f t="shared" si="39"/>
        <v>Cancelled</v>
      </c>
      <c r="Q313" t="str">
        <f t="shared" si="40"/>
        <v>Valid</v>
      </c>
      <c r="R313" t="s">
        <v>668</v>
      </c>
      <c r="S313">
        <f t="shared" si="41"/>
        <v>420</v>
      </c>
      <c r="T313">
        <f t="shared" si="42"/>
        <v>250</v>
      </c>
      <c r="U313">
        <f t="shared" si="43"/>
        <v>170</v>
      </c>
      <c r="V313" s="8">
        <f t="shared" si="44"/>
        <v>0.40476190476190477</v>
      </c>
    </row>
    <row r="314" spans="1:22" x14ac:dyDescent="0.3">
      <c r="A314" t="s">
        <v>325</v>
      </c>
      <c r="B314" s="4">
        <v>45840</v>
      </c>
      <c r="C314" t="s">
        <v>578</v>
      </c>
      <c r="D314" t="str">
        <f t="shared" si="36"/>
        <v>Ella Martin</v>
      </c>
      <c r="E314" t="s">
        <v>622</v>
      </c>
      <c r="F314" t="str">
        <f t="shared" si="37"/>
        <v>United Arab Emirates</v>
      </c>
      <c r="G314" t="s">
        <v>632</v>
      </c>
      <c r="H314" t="s">
        <v>639</v>
      </c>
      <c r="I314">
        <v>1</v>
      </c>
      <c r="J314" s="1">
        <v>42</v>
      </c>
      <c r="K314" s="1">
        <v>21</v>
      </c>
      <c r="L314" s="2">
        <v>0</v>
      </c>
      <c r="M314" t="s">
        <v>647</v>
      </c>
      <c r="N314" t="str">
        <f t="shared" si="38"/>
        <v>Credit Card</v>
      </c>
      <c r="O314" t="s">
        <v>649</v>
      </c>
      <c r="P314" t="str">
        <f t="shared" si="39"/>
        <v>Pending</v>
      </c>
      <c r="Q314" t="str">
        <f t="shared" si="40"/>
        <v>Valid</v>
      </c>
      <c r="R314" t="s">
        <v>671</v>
      </c>
      <c r="S314">
        <f t="shared" si="41"/>
        <v>42</v>
      </c>
      <c r="T314">
        <f t="shared" si="42"/>
        <v>21</v>
      </c>
      <c r="U314">
        <f t="shared" si="43"/>
        <v>21</v>
      </c>
      <c r="V314" s="8">
        <f t="shared" si="44"/>
        <v>0.5</v>
      </c>
    </row>
    <row r="315" spans="1:22" x14ac:dyDescent="0.3">
      <c r="A315" t="s">
        <v>326</v>
      </c>
      <c r="B315" s="4">
        <v>46017</v>
      </c>
      <c r="C315" t="s">
        <v>569</v>
      </c>
      <c r="D315" t="str">
        <f t="shared" si="36"/>
        <v>Mia White</v>
      </c>
      <c r="E315" t="s">
        <v>615</v>
      </c>
      <c r="F315" t="str">
        <f t="shared" si="37"/>
        <v>Canada</v>
      </c>
      <c r="G315" t="s">
        <v>635</v>
      </c>
      <c r="H315" t="s">
        <v>639</v>
      </c>
      <c r="I315">
        <v>2</v>
      </c>
      <c r="J315" s="1">
        <v>65</v>
      </c>
      <c r="K315" s="1">
        <v>31</v>
      </c>
      <c r="L315" s="2">
        <v>0</v>
      </c>
      <c r="M315" t="s">
        <v>645</v>
      </c>
      <c r="N315" t="str">
        <f t="shared" si="38"/>
        <v>Bank Transfer</v>
      </c>
      <c r="O315" t="s">
        <v>648</v>
      </c>
      <c r="P315" t="str">
        <f t="shared" si="39"/>
        <v>Completed</v>
      </c>
      <c r="Q315" t="str">
        <f t="shared" si="40"/>
        <v>Valid</v>
      </c>
      <c r="R315" t="s">
        <v>662</v>
      </c>
      <c r="S315">
        <f t="shared" si="41"/>
        <v>130</v>
      </c>
      <c r="T315">
        <f t="shared" si="42"/>
        <v>62</v>
      </c>
      <c r="U315">
        <f t="shared" si="43"/>
        <v>68</v>
      </c>
      <c r="V315" s="8">
        <f t="shared" si="44"/>
        <v>0.52307692307692311</v>
      </c>
    </row>
    <row r="316" spans="1:22" x14ac:dyDescent="0.3">
      <c r="A316" t="s">
        <v>327</v>
      </c>
      <c r="B316" s="4">
        <v>45916</v>
      </c>
      <c r="C316" t="s">
        <v>567</v>
      </c>
      <c r="D316" t="str">
        <f t="shared" si="36"/>
        <v>Sophia Taylor</v>
      </c>
      <c r="E316" t="s">
        <v>609</v>
      </c>
      <c r="F316" t="str">
        <f t="shared" si="37"/>
        <v>Singapore</v>
      </c>
      <c r="G316" t="s">
        <v>633</v>
      </c>
      <c r="H316" t="s">
        <v>638</v>
      </c>
      <c r="I316">
        <v>1</v>
      </c>
      <c r="J316" s="1">
        <v>210</v>
      </c>
      <c r="K316" s="1">
        <v>125</v>
      </c>
      <c r="L316" s="2">
        <v>0</v>
      </c>
      <c r="M316" t="s">
        <v>646</v>
      </c>
      <c r="N316" t="str">
        <f t="shared" si="38"/>
        <v>Debit Card</v>
      </c>
      <c r="O316" t="s">
        <v>651</v>
      </c>
      <c r="P316" t="str">
        <f t="shared" si="39"/>
        <v>Shipped</v>
      </c>
      <c r="Q316" t="str">
        <f t="shared" si="40"/>
        <v>Valid</v>
      </c>
      <c r="R316" t="s">
        <v>660</v>
      </c>
      <c r="S316">
        <f t="shared" si="41"/>
        <v>210</v>
      </c>
      <c r="T316">
        <f t="shared" si="42"/>
        <v>125</v>
      </c>
      <c r="U316">
        <f t="shared" si="43"/>
        <v>85</v>
      </c>
      <c r="V316" s="8">
        <f t="shared" si="44"/>
        <v>0.40476190476190477</v>
      </c>
    </row>
    <row r="317" spans="1:22" x14ac:dyDescent="0.3">
      <c r="A317" t="s">
        <v>328</v>
      </c>
      <c r="B317" s="4">
        <v>46016</v>
      </c>
      <c r="C317" t="s">
        <v>584</v>
      </c>
      <c r="D317" t="str">
        <f t="shared" si="36"/>
        <v>James Thompson</v>
      </c>
      <c r="E317" t="s">
        <v>623</v>
      </c>
      <c r="F317" t="str">
        <f t="shared" si="37"/>
        <v>United States</v>
      </c>
      <c r="G317" t="s">
        <v>626</v>
      </c>
      <c r="H317" t="s">
        <v>638</v>
      </c>
      <c r="I317">
        <v>1</v>
      </c>
      <c r="J317" s="1">
        <v>36</v>
      </c>
      <c r="K317" s="1">
        <v>16</v>
      </c>
      <c r="L317" s="2">
        <v>0</v>
      </c>
      <c r="M317" t="s">
        <v>645</v>
      </c>
      <c r="N317" t="str">
        <f t="shared" si="38"/>
        <v>Bank Transfer</v>
      </c>
      <c r="O317" t="s">
        <v>649</v>
      </c>
      <c r="P317" t="str">
        <f t="shared" si="39"/>
        <v>Pending</v>
      </c>
      <c r="Q317" t="str">
        <f t="shared" si="40"/>
        <v>Valid</v>
      </c>
      <c r="R317" t="s">
        <v>675</v>
      </c>
      <c r="S317">
        <f t="shared" si="41"/>
        <v>36</v>
      </c>
      <c r="T317">
        <f t="shared" si="42"/>
        <v>16</v>
      </c>
      <c r="U317">
        <f t="shared" si="43"/>
        <v>20</v>
      </c>
      <c r="V317" s="8">
        <f t="shared" si="44"/>
        <v>0.55555555555555558</v>
      </c>
    </row>
    <row r="318" spans="1:22" x14ac:dyDescent="0.3">
      <c r="A318" t="s">
        <v>329</v>
      </c>
      <c r="B318" s="4">
        <v>45791</v>
      </c>
      <c r="C318" t="s">
        <v>575</v>
      </c>
      <c r="D318" t="str">
        <f t="shared" si="36"/>
        <v>Lucas Jackson</v>
      </c>
      <c r="E318" t="s">
        <v>621</v>
      </c>
      <c r="F318" t="str">
        <f t="shared" si="37"/>
        <v>Canada</v>
      </c>
      <c r="G318" t="s">
        <v>634</v>
      </c>
      <c r="H318" t="s">
        <v>641</v>
      </c>
      <c r="I318">
        <v>5</v>
      </c>
      <c r="J318" s="1">
        <v>59</v>
      </c>
      <c r="K318" s="1">
        <v>30</v>
      </c>
      <c r="L318" s="2">
        <v>0</v>
      </c>
      <c r="M318" t="s">
        <v>646</v>
      </c>
      <c r="N318" t="str">
        <f t="shared" si="38"/>
        <v>Debit Card</v>
      </c>
      <c r="O318" t="s">
        <v>648</v>
      </c>
      <c r="P318" t="str">
        <f t="shared" si="39"/>
        <v>Completed</v>
      </c>
      <c r="Q318" t="str">
        <f t="shared" si="40"/>
        <v>Valid</v>
      </c>
      <c r="R318" t="s">
        <v>668</v>
      </c>
      <c r="S318">
        <f t="shared" si="41"/>
        <v>295</v>
      </c>
      <c r="T318">
        <f t="shared" si="42"/>
        <v>150</v>
      </c>
      <c r="U318">
        <f t="shared" si="43"/>
        <v>145</v>
      </c>
      <c r="V318" s="8">
        <f t="shared" si="44"/>
        <v>0.49152542372881358</v>
      </c>
    </row>
    <row r="319" spans="1:22" x14ac:dyDescent="0.3">
      <c r="A319" t="s">
        <v>330</v>
      </c>
      <c r="B319" s="4">
        <v>45763</v>
      </c>
      <c r="C319" t="s">
        <v>571</v>
      </c>
      <c r="D319" t="str">
        <f t="shared" si="36"/>
        <v>Henry Clark</v>
      </c>
      <c r="E319" t="s">
        <v>621</v>
      </c>
      <c r="F319" t="str">
        <f t="shared" si="37"/>
        <v>Canada</v>
      </c>
      <c r="G319" t="s">
        <v>628</v>
      </c>
      <c r="H319" t="s">
        <v>639</v>
      </c>
      <c r="I319">
        <v>4</v>
      </c>
      <c r="J319" s="1">
        <v>18</v>
      </c>
      <c r="K319" s="1">
        <v>7</v>
      </c>
      <c r="L319" s="2">
        <v>0</v>
      </c>
      <c r="M319" t="s">
        <v>644</v>
      </c>
      <c r="N319" t="s">
        <v>644</v>
      </c>
      <c r="O319" t="s">
        <v>648</v>
      </c>
      <c r="P319" t="str">
        <f t="shared" si="39"/>
        <v>Completed</v>
      </c>
      <c r="Q319" t="str">
        <f t="shared" si="40"/>
        <v>Valid</v>
      </c>
      <c r="R319" t="s">
        <v>664</v>
      </c>
      <c r="S319">
        <f t="shared" si="41"/>
        <v>72</v>
      </c>
      <c r="T319">
        <f t="shared" si="42"/>
        <v>28</v>
      </c>
      <c r="U319">
        <f t="shared" si="43"/>
        <v>44</v>
      </c>
      <c r="V319" s="8">
        <f t="shared" si="44"/>
        <v>0.61111111111111116</v>
      </c>
    </row>
    <row r="320" spans="1:22" x14ac:dyDescent="0.3">
      <c r="A320" t="s">
        <v>331</v>
      </c>
      <c r="B320" s="4">
        <v>45673</v>
      </c>
      <c r="C320" t="s">
        <v>587</v>
      </c>
      <c r="D320" t="str">
        <f t="shared" si="36"/>
        <v>Henry Clark</v>
      </c>
      <c r="E320" t="s">
        <v>601</v>
      </c>
      <c r="F320" t="str">
        <f t="shared" si="37"/>
        <v>United Kingdom</v>
      </c>
      <c r="G320" t="s">
        <v>633</v>
      </c>
      <c r="H320" t="s">
        <v>638</v>
      </c>
      <c r="I320">
        <v>1</v>
      </c>
      <c r="J320" s="1">
        <v>210</v>
      </c>
      <c r="K320" s="1">
        <v>125</v>
      </c>
      <c r="L320" s="2">
        <v>0.15</v>
      </c>
      <c r="M320" t="s">
        <v>644</v>
      </c>
      <c r="N320" t="s">
        <v>644</v>
      </c>
      <c r="O320" t="s">
        <v>648</v>
      </c>
      <c r="P320" t="str">
        <f t="shared" si="39"/>
        <v>Completed</v>
      </c>
      <c r="Q320" t="str">
        <f t="shared" si="40"/>
        <v>Valid</v>
      </c>
      <c r="R320" t="s">
        <v>664</v>
      </c>
      <c r="S320">
        <f t="shared" si="41"/>
        <v>178.5</v>
      </c>
      <c r="T320">
        <f t="shared" si="42"/>
        <v>125</v>
      </c>
      <c r="U320">
        <f t="shared" si="43"/>
        <v>53.5</v>
      </c>
      <c r="V320" s="8">
        <f t="shared" si="44"/>
        <v>0.29971988795518206</v>
      </c>
    </row>
    <row r="321" spans="1:22" x14ac:dyDescent="0.3">
      <c r="A321" t="s">
        <v>332</v>
      </c>
      <c r="B321" s="4">
        <v>45734</v>
      </c>
      <c r="C321" t="s">
        <v>575</v>
      </c>
      <c r="D321" t="str">
        <f t="shared" si="36"/>
        <v>Lucas Jackson</v>
      </c>
      <c r="E321" t="s">
        <v>613</v>
      </c>
      <c r="F321" t="str">
        <f t="shared" si="37"/>
        <v>Singapore</v>
      </c>
      <c r="G321" t="s">
        <v>632</v>
      </c>
      <c r="H321" t="s">
        <v>639</v>
      </c>
      <c r="I321">
        <v>4</v>
      </c>
      <c r="J321" s="1">
        <v>42</v>
      </c>
      <c r="K321" s="1">
        <v>21</v>
      </c>
      <c r="L321" s="2">
        <v>0.2</v>
      </c>
      <c r="M321" t="s">
        <v>642</v>
      </c>
      <c r="N321" t="s">
        <v>644</v>
      </c>
      <c r="O321" t="s">
        <v>648</v>
      </c>
      <c r="P321" t="str">
        <f t="shared" si="39"/>
        <v>Completed</v>
      </c>
      <c r="Q321" t="str">
        <f t="shared" si="40"/>
        <v>Valid</v>
      </c>
      <c r="R321" t="s">
        <v>668</v>
      </c>
      <c r="S321">
        <f t="shared" si="41"/>
        <v>134.4</v>
      </c>
      <c r="T321">
        <f t="shared" si="42"/>
        <v>84</v>
      </c>
      <c r="U321">
        <f t="shared" si="43"/>
        <v>50.400000000000006</v>
      </c>
      <c r="V321" s="8">
        <f t="shared" si="44"/>
        <v>0.375</v>
      </c>
    </row>
    <row r="322" spans="1:22" x14ac:dyDescent="0.3">
      <c r="A322" t="s">
        <v>333</v>
      </c>
      <c r="B322" s="4">
        <v>45942</v>
      </c>
      <c r="C322" t="s">
        <v>569</v>
      </c>
      <c r="D322" t="str">
        <f t="shared" si="36"/>
        <v>Mia White</v>
      </c>
      <c r="E322" t="s">
        <v>606</v>
      </c>
      <c r="F322" t="str">
        <f t="shared" si="37"/>
        <v>Canada</v>
      </c>
      <c r="G322" t="s">
        <v>626</v>
      </c>
      <c r="H322" t="s">
        <v>638</v>
      </c>
      <c r="I322">
        <v>1</v>
      </c>
      <c r="J322" s="1">
        <v>36</v>
      </c>
      <c r="K322" s="1">
        <v>16</v>
      </c>
      <c r="L322" s="2">
        <v>0.2</v>
      </c>
      <c r="M322" t="s">
        <v>646</v>
      </c>
      <c r="N322" t="str">
        <f t="shared" si="38"/>
        <v>Debit Card</v>
      </c>
      <c r="O322" t="s">
        <v>650</v>
      </c>
      <c r="P322" t="str">
        <f t="shared" si="39"/>
        <v>Cancelled</v>
      </c>
      <c r="Q322" t="str">
        <f t="shared" si="40"/>
        <v>Valid</v>
      </c>
      <c r="R322" t="s">
        <v>662</v>
      </c>
      <c r="S322">
        <f t="shared" si="41"/>
        <v>28.8</v>
      </c>
      <c r="T322">
        <f t="shared" si="42"/>
        <v>16</v>
      </c>
      <c r="U322">
        <f t="shared" si="43"/>
        <v>12.8</v>
      </c>
      <c r="V322" s="8">
        <f t="shared" si="44"/>
        <v>0.44444444444444448</v>
      </c>
    </row>
    <row r="323" spans="1:22" x14ac:dyDescent="0.3">
      <c r="A323" t="s">
        <v>334</v>
      </c>
      <c r="B323" s="4">
        <v>45988</v>
      </c>
      <c r="C323" t="s">
        <v>577</v>
      </c>
      <c r="D323" t="str">
        <f t="shared" ref="D323:D386" si="45">PROPER(TRIM(C323))</f>
        <v>Emma Wilson</v>
      </c>
      <c r="E323" t="s">
        <v>607</v>
      </c>
      <c r="F323" t="str">
        <f t="shared" ref="F323:F386" si="46">IF(OR(UPPER(TRIM(E323))="AUS",UPPER(TRIM(E323))="AUSTRALIA"),"Australia",IF(OR(UPPER(TRIM(E323))="CAN",UPPER(TRIM(E323))="CANADA"),"Canada",IF(OR(UPPER(TRIM(E323))="DE",UPPER(TRIM(E323))="GERMANY"),"Germany",IF(OR(UPPER(TRIM(E323))="IN",UPPER(TRIM(E323))="INDIA"),"India",IF(OR(UPPER(TRIM(E323))="US",UPPER(TRIM(E323))="USA",UPPER(TRIM(E323))="UNITED STATES"),"United States",IF(OR(UPPER(TRIM(E323))="UK",UPPER(TRIM(E323))="U.K.",UPPER(TRIM(E323))="UNITED KINGDOM"),"United Kingdom",IF(OR(UPPER(TRIM(E323))="UAE",UPPER(TRIM(E323))="U.A.E.",UPPER(TRIM(E323))="UNITED ARAB EMIRATES"),"United Arab Emirates",IF(OR(UPPER(TRIM(E323))="SG",UPPER(TRIM(E323))="SINGAPORE"),"Singapore",TRIM(E323)))))))))</f>
        <v>Germany</v>
      </c>
      <c r="G323" t="s">
        <v>635</v>
      </c>
      <c r="H323" t="s">
        <v>639</v>
      </c>
      <c r="I323">
        <v>2</v>
      </c>
      <c r="J323" s="1">
        <v>65</v>
      </c>
      <c r="K323" s="1">
        <v>31</v>
      </c>
      <c r="L323" s="2">
        <v>0.05</v>
      </c>
      <c r="M323" t="s">
        <v>646</v>
      </c>
      <c r="N323" t="str">
        <f t="shared" ref="N323:N386" si="47">PROPER(TRIM(M323))</f>
        <v>Debit Card</v>
      </c>
      <c r="O323" t="s">
        <v>648</v>
      </c>
      <c r="P323" t="str">
        <f t="shared" ref="P323:P386" si="48">PROPER(TRIM(O323))</f>
        <v>Completed</v>
      </c>
      <c r="Q323" t="str">
        <f t="shared" ref="Q323:Q386" si="49">IF(TRIM(R323)="","Missing",IF(AND(ISNUMBER(SEARCH("@",R323)),ISNUMBER(SEARCH(".",R323,SEARCH("@",R323)+2))),"Valid","Invalid"))</f>
        <v>Valid</v>
      </c>
      <c r="R323" t="s">
        <v>670</v>
      </c>
      <c r="S323">
        <f t="shared" ref="S323:S386" si="50">I323*J323*(1-L323)</f>
        <v>123.5</v>
      </c>
      <c r="T323">
        <f t="shared" ref="T323:T386" si="51">I323*K323</f>
        <v>62</v>
      </c>
      <c r="U323">
        <f t="shared" ref="U323:U386" si="52">S323-T323</f>
        <v>61.5</v>
      </c>
      <c r="V323" s="8">
        <f t="shared" ref="V323:V386" si="53">IF(S323=0,0,U323/S323)</f>
        <v>0.49797570850202427</v>
      </c>
    </row>
    <row r="324" spans="1:22" x14ac:dyDescent="0.3">
      <c r="A324" t="s">
        <v>335</v>
      </c>
      <c r="B324" s="4">
        <v>45711</v>
      </c>
      <c r="C324" t="s">
        <v>569</v>
      </c>
      <c r="D324" t="str">
        <f t="shared" si="45"/>
        <v>Mia White</v>
      </c>
      <c r="E324" t="s">
        <v>618</v>
      </c>
      <c r="F324" t="str">
        <f t="shared" si="46"/>
        <v>United Kingdom</v>
      </c>
      <c r="G324" t="s">
        <v>631</v>
      </c>
      <c r="H324" t="s">
        <v>641</v>
      </c>
      <c r="I324">
        <v>2</v>
      </c>
      <c r="J324" s="1">
        <v>85</v>
      </c>
      <c r="K324" s="1">
        <v>44</v>
      </c>
      <c r="L324" s="2">
        <v>0</v>
      </c>
      <c r="M324" t="s">
        <v>646</v>
      </c>
      <c r="N324" t="str">
        <f t="shared" si="47"/>
        <v>Debit Card</v>
      </c>
      <c r="O324" t="s">
        <v>648</v>
      </c>
      <c r="P324" t="str">
        <f t="shared" si="48"/>
        <v>Completed</v>
      </c>
      <c r="Q324" t="str">
        <f t="shared" si="49"/>
        <v>Valid</v>
      </c>
      <c r="R324" t="s">
        <v>662</v>
      </c>
      <c r="S324">
        <f t="shared" si="50"/>
        <v>170</v>
      </c>
      <c r="T324">
        <f t="shared" si="51"/>
        <v>88</v>
      </c>
      <c r="U324">
        <f t="shared" si="52"/>
        <v>82</v>
      </c>
      <c r="V324" s="8">
        <f t="shared" si="53"/>
        <v>0.4823529411764706</v>
      </c>
    </row>
    <row r="325" spans="1:22" x14ac:dyDescent="0.3">
      <c r="A325" t="s">
        <v>336</v>
      </c>
      <c r="B325" s="4">
        <v>45786</v>
      </c>
      <c r="C325" t="s">
        <v>570</v>
      </c>
      <c r="D325" t="str">
        <f t="shared" si="45"/>
        <v>Grace Moore</v>
      </c>
      <c r="E325" t="s">
        <v>615</v>
      </c>
      <c r="F325" t="str">
        <f t="shared" si="46"/>
        <v>Canada</v>
      </c>
      <c r="G325" t="s">
        <v>631</v>
      </c>
      <c r="H325" t="s">
        <v>641</v>
      </c>
      <c r="I325">
        <v>1</v>
      </c>
      <c r="J325" s="1">
        <v>85</v>
      </c>
      <c r="K325" s="1">
        <v>44</v>
      </c>
      <c r="L325" s="2">
        <v>0.1</v>
      </c>
      <c r="M325" t="s">
        <v>643</v>
      </c>
      <c r="N325" t="str">
        <f t="shared" si="47"/>
        <v>Credit Card</v>
      </c>
      <c r="O325" t="s">
        <v>650</v>
      </c>
      <c r="P325" t="str">
        <f t="shared" si="48"/>
        <v>Cancelled</v>
      </c>
      <c r="Q325" t="str">
        <f t="shared" si="49"/>
        <v>Valid</v>
      </c>
      <c r="R325" t="s">
        <v>663</v>
      </c>
      <c r="S325">
        <f t="shared" si="50"/>
        <v>76.5</v>
      </c>
      <c r="T325">
        <f t="shared" si="51"/>
        <v>44</v>
      </c>
      <c r="U325">
        <f t="shared" si="52"/>
        <v>32.5</v>
      </c>
      <c r="V325" s="8">
        <f t="shared" si="53"/>
        <v>0.42483660130718953</v>
      </c>
    </row>
    <row r="326" spans="1:22" x14ac:dyDescent="0.3">
      <c r="A326" t="s">
        <v>337</v>
      </c>
      <c r="B326" s="4">
        <v>45842</v>
      </c>
      <c r="C326" t="s">
        <v>567</v>
      </c>
      <c r="D326" t="str">
        <f t="shared" si="45"/>
        <v>Sophia Taylor</v>
      </c>
      <c r="E326" t="s">
        <v>607</v>
      </c>
      <c r="F326" t="str">
        <f t="shared" si="46"/>
        <v>Germany</v>
      </c>
      <c r="G326" t="s">
        <v>635</v>
      </c>
      <c r="H326" t="s">
        <v>639</v>
      </c>
      <c r="I326">
        <v>2</v>
      </c>
      <c r="J326" s="1">
        <v>65</v>
      </c>
      <c r="K326" s="1">
        <v>31</v>
      </c>
      <c r="L326" s="2">
        <v>0.1</v>
      </c>
      <c r="M326" t="s">
        <v>645</v>
      </c>
      <c r="N326" t="str">
        <f t="shared" si="47"/>
        <v>Bank Transfer</v>
      </c>
      <c r="O326" t="s">
        <v>650</v>
      </c>
      <c r="P326" t="str">
        <f t="shared" si="48"/>
        <v>Cancelled</v>
      </c>
      <c r="Q326" t="str">
        <f t="shared" si="49"/>
        <v>Valid</v>
      </c>
      <c r="R326" t="s">
        <v>660</v>
      </c>
      <c r="S326">
        <f t="shared" si="50"/>
        <v>117</v>
      </c>
      <c r="T326">
        <f t="shared" si="51"/>
        <v>62</v>
      </c>
      <c r="U326">
        <f t="shared" si="52"/>
        <v>55</v>
      </c>
      <c r="V326" s="8">
        <f t="shared" si="53"/>
        <v>0.47008547008547008</v>
      </c>
    </row>
    <row r="327" spans="1:22" x14ac:dyDescent="0.3">
      <c r="A327" t="s">
        <v>338</v>
      </c>
      <c r="B327" s="4">
        <v>45963</v>
      </c>
      <c r="C327" t="s">
        <v>573</v>
      </c>
      <c r="D327" t="str">
        <f t="shared" si="45"/>
        <v>Noah Brown</v>
      </c>
      <c r="E327" t="s">
        <v>622</v>
      </c>
      <c r="F327" t="str">
        <f t="shared" si="46"/>
        <v>United Arab Emirates</v>
      </c>
      <c r="G327" t="s">
        <v>636</v>
      </c>
      <c r="H327" t="s">
        <v>641</v>
      </c>
      <c r="I327">
        <v>5</v>
      </c>
      <c r="J327" s="1">
        <v>245</v>
      </c>
      <c r="K327" s="1">
        <v>150</v>
      </c>
      <c r="L327" s="2">
        <v>0.05</v>
      </c>
      <c r="M327" t="s">
        <v>647</v>
      </c>
      <c r="N327" t="str">
        <f t="shared" si="47"/>
        <v>Credit Card</v>
      </c>
      <c r="O327" t="s">
        <v>648</v>
      </c>
      <c r="P327" t="str">
        <f t="shared" si="48"/>
        <v>Completed</v>
      </c>
      <c r="Q327" t="str">
        <f t="shared" si="49"/>
        <v>Valid</v>
      </c>
      <c r="R327" t="s">
        <v>667</v>
      </c>
      <c r="S327">
        <f t="shared" si="50"/>
        <v>1163.75</v>
      </c>
      <c r="T327">
        <f t="shared" si="51"/>
        <v>750</v>
      </c>
      <c r="U327">
        <f t="shared" si="52"/>
        <v>413.75</v>
      </c>
      <c r="V327" s="8">
        <f t="shared" si="53"/>
        <v>0.35553168635875404</v>
      </c>
    </row>
    <row r="328" spans="1:22" x14ac:dyDescent="0.3">
      <c r="A328" t="s">
        <v>339</v>
      </c>
      <c r="B328" s="4">
        <v>45983</v>
      </c>
      <c r="C328" t="s">
        <v>572</v>
      </c>
      <c r="D328" t="str">
        <f t="shared" si="45"/>
        <v>Olivia Davis</v>
      </c>
      <c r="E328" t="s">
        <v>613</v>
      </c>
      <c r="F328" t="str">
        <f t="shared" si="46"/>
        <v>Singapore</v>
      </c>
      <c r="G328" t="s">
        <v>630</v>
      </c>
      <c r="H328" t="s">
        <v>640</v>
      </c>
      <c r="I328">
        <v>5</v>
      </c>
      <c r="J328" s="1">
        <v>78</v>
      </c>
      <c r="K328" s="1">
        <v>45</v>
      </c>
      <c r="L328" s="2">
        <v>0.1</v>
      </c>
      <c r="M328" t="s">
        <v>644</v>
      </c>
      <c r="N328" t="s">
        <v>644</v>
      </c>
      <c r="O328" t="s">
        <v>651</v>
      </c>
      <c r="P328" t="str">
        <f t="shared" si="48"/>
        <v>Shipped</v>
      </c>
      <c r="Q328" t="str">
        <f t="shared" si="49"/>
        <v>Valid</v>
      </c>
      <c r="R328" t="s">
        <v>665</v>
      </c>
      <c r="S328">
        <f t="shared" si="50"/>
        <v>351</v>
      </c>
      <c r="T328">
        <f t="shared" si="51"/>
        <v>225</v>
      </c>
      <c r="U328">
        <f t="shared" si="52"/>
        <v>126</v>
      </c>
      <c r="V328" s="8">
        <f t="shared" si="53"/>
        <v>0.35897435897435898</v>
      </c>
    </row>
    <row r="329" spans="1:22" x14ac:dyDescent="0.3">
      <c r="A329" t="s">
        <v>340</v>
      </c>
      <c r="B329" s="4">
        <v>45753</v>
      </c>
      <c r="C329" t="s">
        <v>567</v>
      </c>
      <c r="D329" t="str">
        <f t="shared" si="45"/>
        <v>Sophia Taylor</v>
      </c>
      <c r="E329" t="s">
        <v>608</v>
      </c>
      <c r="F329" t="str">
        <f t="shared" si="46"/>
        <v>India</v>
      </c>
      <c r="G329" t="s">
        <v>628</v>
      </c>
      <c r="H329" t="s">
        <v>639</v>
      </c>
      <c r="I329">
        <v>2</v>
      </c>
      <c r="J329" s="1">
        <v>18</v>
      </c>
      <c r="K329" s="1">
        <v>7</v>
      </c>
      <c r="L329" s="2">
        <v>0.05</v>
      </c>
      <c r="M329" t="s">
        <v>644</v>
      </c>
      <c r="N329" t="s">
        <v>644</v>
      </c>
      <c r="O329" t="s">
        <v>650</v>
      </c>
      <c r="P329" t="str">
        <f t="shared" si="48"/>
        <v>Cancelled</v>
      </c>
      <c r="Q329" t="str">
        <f t="shared" si="49"/>
        <v>Valid</v>
      </c>
      <c r="R329" t="s">
        <v>660</v>
      </c>
      <c r="S329">
        <f t="shared" si="50"/>
        <v>34.199999999999996</v>
      </c>
      <c r="T329">
        <f t="shared" si="51"/>
        <v>14</v>
      </c>
      <c r="U329">
        <f t="shared" si="52"/>
        <v>20.199999999999996</v>
      </c>
      <c r="V329" s="8">
        <f t="shared" si="53"/>
        <v>0.59064327485380108</v>
      </c>
    </row>
    <row r="330" spans="1:22" x14ac:dyDescent="0.3">
      <c r="A330" t="s">
        <v>341</v>
      </c>
      <c r="B330" s="4">
        <v>45981</v>
      </c>
      <c r="C330" t="s">
        <v>570</v>
      </c>
      <c r="D330" t="str">
        <f t="shared" si="45"/>
        <v>Grace Moore</v>
      </c>
      <c r="E330" t="s">
        <v>611</v>
      </c>
      <c r="F330" t="str">
        <f t="shared" si="46"/>
        <v>United States</v>
      </c>
      <c r="G330" t="s">
        <v>636</v>
      </c>
      <c r="H330" t="s">
        <v>641</v>
      </c>
      <c r="I330">
        <v>3</v>
      </c>
      <c r="J330" s="1">
        <v>245</v>
      </c>
      <c r="K330" s="1">
        <v>150</v>
      </c>
      <c r="L330" s="2">
        <v>0.05</v>
      </c>
      <c r="M330" t="s">
        <v>645</v>
      </c>
      <c r="N330" t="str">
        <f t="shared" si="47"/>
        <v>Bank Transfer</v>
      </c>
      <c r="O330" t="s">
        <v>648</v>
      </c>
      <c r="P330" t="str">
        <f t="shared" si="48"/>
        <v>Completed</v>
      </c>
      <c r="Q330" t="str">
        <f t="shared" si="49"/>
        <v>Valid</v>
      </c>
      <c r="R330" t="s">
        <v>663</v>
      </c>
      <c r="S330">
        <f t="shared" si="50"/>
        <v>698.25</v>
      </c>
      <c r="T330">
        <f t="shared" si="51"/>
        <v>450</v>
      </c>
      <c r="U330">
        <f t="shared" si="52"/>
        <v>248.25</v>
      </c>
      <c r="V330" s="8">
        <f t="shared" si="53"/>
        <v>0.35553168635875404</v>
      </c>
    </row>
    <row r="331" spans="1:22" x14ac:dyDescent="0.3">
      <c r="A331" t="s">
        <v>342</v>
      </c>
      <c r="B331" s="4">
        <v>45704</v>
      </c>
      <c r="C331" t="s">
        <v>568</v>
      </c>
      <c r="D331" t="str">
        <f t="shared" si="45"/>
        <v>Daniel Harris</v>
      </c>
      <c r="E331" t="s">
        <v>609</v>
      </c>
      <c r="F331" t="str">
        <f t="shared" si="46"/>
        <v>Singapore</v>
      </c>
      <c r="G331" t="s">
        <v>632</v>
      </c>
      <c r="H331" t="s">
        <v>639</v>
      </c>
      <c r="I331">
        <v>3</v>
      </c>
      <c r="J331" s="1">
        <v>42</v>
      </c>
      <c r="K331" s="1">
        <v>21</v>
      </c>
      <c r="L331" s="2">
        <v>0.15</v>
      </c>
      <c r="M331" t="s">
        <v>642</v>
      </c>
      <c r="N331" t="s">
        <v>644</v>
      </c>
      <c r="O331" t="s">
        <v>651</v>
      </c>
      <c r="P331" t="str">
        <f t="shared" si="48"/>
        <v>Shipped</v>
      </c>
      <c r="Q331" t="str">
        <f t="shared" si="49"/>
        <v>Valid</v>
      </c>
      <c r="R331" t="s">
        <v>666</v>
      </c>
      <c r="S331">
        <f t="shared" si="50"/>
        <v>107.1</v>
      </c>
      <c r="T331">
        <f t="shared" si="51"/>
        <v>63</v>
      </c>
      <c r="U331">
        <f t="shared" si="52"/>
        <v>44.099999999999994</v>
      </c>
      <c r="V331" s="8">
        <f t="shared" si="53"/>
        <v>0.41176470588235292</v>
      </c>
    </row>
    <row r="332" spans="1:22" x14ac:dyDescent="0.3">
      <c r="A332" t="s">
        <v>343</v>
      </c>
      <c r="B332" s="4">
        <v>45698</v>
      </c>
      <c r="C332" t="s">
        <v>576</v>
      </c>
      <c r="D332" t="str">
        <f t="shared" si="45"/>
        <v>Chloe Lewis</v>
      </c>
      <c r="E332" t="s">
        <v>603</v>
      </c>
      <c r="F332" t="str">
        <f t="shared" si="46"/>
        <v>Germany</v>
      </c>
      <c r="G332" t="s">
        <v>626</v>
      </c>
      <c r="H332" t="s">
        <v>638</v>
      </c>
      <c r="I332">
        <v>2</v>
      </c>
      <c r="J332" s="1">
        <v>36</v>
      </c>
      <c r="K332" s="1">
        <v>16</v>
      </c>
      <c r="L332" s="2">
        <v>0</v>
      </c>
      <c r="M332" t="s">
        <v>644</v>
      </c>
      <c r="N332" t="s">
        <v>644</v>
      </c>
      <c r="O332" t="s">
        <v>648</v>
      </c>
      <c r="P332" t="str">
        <f t="shared" si="48"/>
        <v>Completed</v>
      </c>
      <c r="Q332" t="str">
        <f t="shared" si="49"/>
        <v>Valid</v>
      </c>
      <c r="R332" t="s">
        <v>669</v>
      </c>
      <c r="S332">
        <f t="shared" si="50"/>
        <v>72</v>
      </c>
      <c r="T332">
        <f t="shared" si="51"/>
        <v>32</v>
      </c>
      <c r="U332">
        <f t="shared" si="52"/>
        <v>40</v>
      </c>
      <c r="V332" s="8">
        <f t="shared" si="53"/>
        <v>0.55555555555555558</v>
      </c>
    </row>
    <row r="333" spans="1:22" x14ac:dyDescent="0.3">
      <c r="A333" t="s">
        <v>344</v>
      </c>
      <c r="B333" s="4">
        <v>45758</v>
      </c>
      <c r="C333" t="s">
        <v>577</v>
      </c>
      <c r="D333" t="str">
        <f t="shared" si="45"/>
        <v>Emma Wilson</v>
      </c>
      <c r="E333" t="s">
        <v>602</v>
      </c>
      <c r="F333" t="str">
        <f t="shared" si="46"/>
        <v>Australia</v>
      </c>
      <c r="G333" t="s">
        <v>630</v>
      </c>
      <c r="H333" t="s">
        <v>640</v>
      </c>
      <c r="I333">
        <v>4</v>
      </c>
      <c r="J333" s="1">
        <v>78</v>
      </c>
      <c r="K333" s="1">
        <v>45</v>
      </c>
      <c r="L333" s="2">
        <v>0</v>
      </c>
      <c r="M333" t="s">
        <v>647</v>
      </c>
      <c r="N333" t="str">
        <f t="shared" si="47"/>
        <v>Credit Card</v>
      </c>
      <c r="O333" t="s">
        <v>648</v>
      </c>
      <c r="P333" t="str">
        <f t="shared" si="48"/>
        <v>Completed</v>
      </c>
      <c r="Q333" t="str">
        <f t="shared" si="49"/>
        <v>Valid</v>
      </c>
      <c r="R333" t="s">
        <v>670</v>
      </c>
      <c r="S333">
        <f t="shared" si="50"/>
        <v>312</v>
      </c>
      <c r="T333">
        <f t="shared" si="51"/>
        <v>180</v>
      </c>
      <c r="U333">
        <f t="shared" si="52"/>
        <v>132</v>
      </c>
      <c r="V333" s="8">
        <f t="shared" si="53"/>
        <v>0.42307692307692307</v>
      </c>
    </row>
    <row r="334" spans="1:22" x14ac:dyDescent="0.3">
      <c r="A334" t="s">
        <v>345</v>
      </c>
      <c r="B334" s="4">
        <v>45807</v>
      </c>
      <c r="C334" t="s">
        <v>567</v>
      </c>
      <c r="D334" t="str">
        <f t="shared" si="45"/>
        <v>Sophia Taylor</v>
      </c>
      <c r="E334" t="s">
        <v>607</v>
      </c>
      <c r="F334" t="str">
        <f t="shared" si="46"/>
        <v>Germany</v>
      </c>
      <c r="G334" t="s">
        <v>637</v>
      </c>
      <c r="H334" t="s">
        <v>641</v>
      </c>
      <c r="I334">
        <v>3</v>
      </c>
      <c r="J334" s="1">
        <v>175</v>
      </c>
      <c r="K334" s="1">
        <v>105</v>
      </c>
      <c r="L334" s="2">
        <v>0</v>
      </c>
      <c r="M334" t="s">
        <v>647</v>
      </c>
      <c r="N334" t="str">
        <f t="shared" si="47"/>
        <v>Credit Card</v>
      </c>
      <c r="O334" t="s">
        <v>650</v>
      </c>
      <c r="P334" t="str">
        <f t="shared" si="48"/>
        <v>Cancelled</v>
      </c>
      <c r="Q334" t="str">
        <f t="shared" si="49"/>
        <v>Valid</v>
      </c>
      <c r="R334" t="s">
        <v>660</v>
      </c>
      <c r="S334">
        <f t="shared" si="50"/>
        <v>525</v>
      </c>
      <c r="T334">
        <f t="shared" si="51"/>
        <v>315</v>
      </c>
      <c r="U334">
        <f t="shared" si="52"/>
        <v>210</v>
      </c>
      <c r="V334" s="8">
        <f t="shared" si="53"/>
        <v>0.4</v>
      </c>
    </row>
    <row r="335" spans="1:22" x14ac:dyDescent="0.3">
      <c r="A335" t="s">
        <v>346</v>
      </c>
      <c r="B335" s="4">
        <v>45716</v>
      </c>
      <c r="C335" t="s">
        <v>564</v>
      </c>
      <c r="D335" t="str">
        <f t="shared" si="45"/>
        <v>Ava Thomas</v>
      </c>
      <c r="F335" t="s">
        <v>717</v>
      </c>
      <c r="G335" t="s">
        <v>632</v>
      </c>
      <c r="H335" t="s">
        <v>639</v>
      </c>
      <c r="I335">
        <v>4</v>
      </c>
      <c r="J335" s="1">
        <v>42</v>
      </c>
      <c r="K335" s="1">
        <v>21</v>
      </c>
      <c r="L335" s="2">
        <v>0</v>
      </c>
      <c r="M335" t="s">
        <v>645</v>
      </c>
      <c r="N335" t="str">
        <f t="shared" si="47"/>
        <v>Bank Transfer</v>
      </c>
      <c r="O335" t="s">
        <v>648</v>
      </c>
      <c r="P335" t="str">
        <f t="shared" si="48"/>
        <v>Completed</v>
      </c>
      <c r="Q335" t="str">
        <f t="shared" si="49"/>
        <v>Valid</v>
      </c>
      <c r="R335" t="s">
        <v>657</v>
      </c>
      <c r="S335">
        <f t="shared" si="50"/>
        <v>168</v>
      </c>
      <c r="T335">
        <f t="shared" si="51"/>
        <v>84</v>
      </c>
      <c r="U335">
        <f t="shared" si="52"/>
        <v>84</v>
      </c>
      <c r="V335" s="8">
        <f t="shared" si="53"/>
        <v>0.5</v>
      </c>
    </row>
    <row r="336" spans="1:22" x14ac:dyDescent="0.3">
      <c r="A336" t="s">
        <v>347</v>
      </c>
      <c r="B336" s="4">
        <v>45823</v>
      </c>
      <c r="C336" t="s">
        <v>577</v>
      </c>
      <c r="D336" t="str">
        <f t="shared" si="45"/>
        <v>Emma Wilson</v>
      </c>
      <c r="E336" t="s">
        <v>601</v>
      </c>
      <c r="F336" t="str">
        <f t="shared" si="46"/>
        <v>United Kingdom</v>
      </c>
      <c r="G336" t="s">
        <v>635</v>
      </c>
      <c r="H336" t="s">
        <v>639</v>
      </c>
      <c r="I336">
        <v>3</v>
      </c>
      <c r="J336" s="1">
        <v>65</v>
      </c>
      <c r="K336" s="1">
        <v>31</v>
      </c>
      <c r="L336" s="2">
        <v>0</v>
      </c>
      <c r="M336" t="s">
        <v>646</v>
      </c>
      <c r="N336" t="str">
        <f t="shared" si="47"/>
        <v>Debit Card</v>
      </c>
      <c r="O336" t="s">
        <v>648</v>
      </c>
      <c r="P336" t="str">
        <f t="shared" si="48"/>
        <v>Completed</v>
      </c>
      <c r="Q336" t="str">
        <f t="shared" si="49"/>
        <v>Valid</v>
      </c>
      <c r="R336" t="s">
        <v>670</v>
      </c>
      <c r="S336">
        <f t="shared" si="50"/>
        <v>195</v>
      </c>
      <c r="T336">
        <f t="shared" si="51"/>
        <v>93</v>
      </c>
      <c r="U336">
        <f t="shared" si="52"/>
        <v>102</v>
      </c>
      <c r="V336" s="8">
        <f t="shared" si="53"/>
        <v>0.52307692307692311</v>
      </c>
    </row>
    <row r="337" spans="1:22" x14ac:dyDescent="0.3">
      <c r="A337" t="s">
        <v>348</v>
      </c>
      <c r="B337" s="4">
        <v>45903</v>
      </c>
      <c r="C337" t="s">
        <v>571</v>
      </c>
      <c r="D337" t="str">
        <f t="shared" si="45"/>
        <v>Henry Clark</v>
      </c>
      <c r="E337" t="s">
        <v>611</v>
      </c>
      <c r="F337" t="str">
        <f t="shared" si="46"/>
        <v>United States</v>
      </c>
      <c r="G337" t="s">
        <v>636</v>
      </c>
      <c r="H337" t="s">
        <v>641</v>
      </c>
      <c r="I337">
        <v>3</v>
      </c>
      <c r="J337" s="1">
        <v>245</v>
      </c>
      <c r="K337" s="1">
        <v>150</v>
      </c>
      <c r="L337" s="2">
        <v>0</v>
      </c>
      <c r="M337" t="s">
        <v>644</v>
      </c>
      <c r="N337" t="s">
        <v>644</v>
      </c>
      <c r="O337" t="s">
        <v>651</v>
      </c>
      <c r="P337" t="str">
        <f t="shared" si="48"/>
        <v>Shipped</v>
      </c>
      <c r="Q337" t="str">
        <f t="shared" si="49"/>
        <v>Valid</v>
      </c>
      <c r="R337" t="s">
        <v>664</v>
      </c>
      <c r="S337">
        <f t="shared" si="50"/>
        <v>735</v>
      </c>
      <c r="T337">
        <f t="shared" si="51"/>
        <v>450</v>
      </c>
      <c r="U337">
        <f t="shared" si="52"/>
        <v>285</v>
      </c>
      <c r="V337" s="8">
        <f t="shared" si="53"/>
        <v>0.38775510204081631</v>
      </c>
    </row>
    <row r="338" spans="1:22" x14ac:dyDescent="0.3">
      <c r="A338" t="s">
        <v>349</v>
      </c>
      <c r="B338" s="4">
        <v>45745</v>
      </c>
      <c r="C338" t="s">
        <v>584</v>
      </c>
      <c r="D338" t="str">
        <f t="shared" si="45"/>
        <v>James Thompson</v>
      </c>
      <c r="E338" t="s">
        <v>607</v>
      </c>
      <c r="F338" t="str">
        <f t="shared" si="46"/>
        <v>Germany</v>
      </c>
      <c r="G338" t="s">
        <v>628</v>
      </c>
      <c r="H338" t="s">
        <v>639</v>
      </c>
      <c r="I338">
        <v>1</v>
      </c>
      <c r="J338" s="1">
        <v>18</v>
      </c>
      <c r="K338" s="1">
        <v>7</v>
      </c>
      <c r="L338" s="2">
        <v>0</v>
      </c>
      <c r="M338" t="s">
        <v>645</v>
      </c>
      <c r="N338" t="str">
        <f t="shared" si="47"/>
        <v>Bank Transfer</v>
      </c>
      <c r="O338" t="s">
        <v>648</v>
      </c>
      <c r="P338" t="str">
        <f t="shared" si="48"/>
        <v>Completed</v>
      </c>
      <c r="Q338" t="str">
        <f t="shared" si="49"/>
        <v>Valid</v>
      </c>
      <c r="R338" t="s">
        <v>675</v>
      </c>
      <c r="S338">
        <f t="shared" si="50"/>
        <v>18</v>
      </c>
      <c r="T338">
        <f t="shared" si="51"/>
        <v>7</v>
      </c>
      <c r="U338">
        <f t="shared" si="52"/>
        <v>11</v>
      </c>
      <c r="V338" s="8">
        <f t="shared" si="53"/>
        <v>0.61111111111111116</v>
      </c>
    </row>
    <row r="339" spans="1:22" x14ac:dyDescent="0.3">
      <c r="A339" t="s">
        <v>350</v>
      </c>
      <c r="B339" s="4">
        <v>45855</v>
      </c>
      <c r="C339" t="s">
        <v>563</v>
      </c>
      <c r="D339" t="str">
        <f t="shared" si="45"/>
        <v>Liam Miller</v>
      </c>
      <c r="E339" t="s">
        <v>609</v>
      </c>
      <c r="F339" t="str">
        <f t="shared" si="46"/>
        <v>Singapore</v>
      </c>
      <c r="G339" t="s">
        <v>636</v>
      </c>
      <c r="H339" t="s">
        <v>641</v>
      </c>
      <c r="I339">
        <v>5</v>
      </c>
      <c r="J339" s="1">
        <v>245</v>
      </c>
      <c r="K339" s="1">
        <v>150</v>
      </c>
      <c r="L339" s="2">
        <v>0.1</v>
      </c>
      <c r="M339" t="s">
        <v>644</v>
      </c>
      <c r="N339" t="s">
        <v>644</v>
      </c>
      <c r="O339" t="s">
        <v>648</v>
      </c>
      <c r="P339" t="str">
        <f t="shared" si="48"/>
        <v>Completed</v>
      </c>
      <c r="Q339" t="str">
        <f t="shared" si="49"/>
        <v>Valid</v>
      </c>
      <c r="R339" t="s">
        <v>656</v>
      </c>
      <c r="S339">
        <f t="shared" si="50"/>
        <v>1102.5</v>
      </c>
      <c r="T339">
        <f t="shared" si="51"/>
        <v>750</v>
      </c>
      <c r="U339">
        <f t="shared" si="52"/>
        <v>352.5</v>
      </c>
      <c r="V339" s="8">
        <f t="shared" si="53"/>
        <v>0.31972789115646261</v>
      </c>
    </row>
    <row r="340" spans="1:22" x14ac:dyDescent="0.3">
      <c r="A340" t="s">
        <v>351</v>
      </c>
      <c r="B340" s="4">
        <v>45727</v>
      </c>
      <c r="C340" t="s">
        <v>582</v>
      </c>
      <c r="D340" t="str">
        <f t="shared" si="45"/>
        <v>Alex Morgan</v>
      </c>
      <c r="E340" t="s">
        <v>611</v>
      </c>
      <c r="F340" t="str">
        <f t="shared" si="46"/>
        <v>United States</v>
      </c>
      <c r="G340" t="s">
        <v>633</v>
      </c>
      <c r="H340" t="s">
        <v>638</v>
      </c>
      <c r="I340">
        <v>5</v>
      </c>
      <c r="J340" s="1">
        <v>210</v>
      </c>
      <c r="K340" s="1">
        <v>125</v>
      </c>
      <c r="L340" s="2">
        <v>0.05</v>
      </c>
      <c r="M340" t="s">
        <v>645</v>
      </c>
      <c r="N340" t="str">
        <f t="shared" si="47"/>
        <v>Bank Transfer</v>
      </c>
      <c r="O340" t="s">
        <v>648</v>
      </c>
      <c r="P340" t="str">
        <f t="shared" si="48"/>
        <v>Completed</v>
      </c>
      <c r="Q340" t="str">
        <f t="shared" si="49"/>
        <v>Valid</v>
      </c>
      <c r="R340" t="s">
        <v>658</v>
      </c>
      <c r="S340">
        <f t="shared" si="50"/>
        <v>997.5</v>
      </c>
      <c r="T340">
        <f t="shared" si="51"/>
        <v>625</v>
      </c>
      <c r="U340">
        <f t="shared" si="52"/>
        <v>372.5</v>
      </c>
      <c r="V340" s="8">
        <f t="shared" si="53"/>
        <v>0.37343358395989973</v>
      </c>
    </row>
    <row r="341" spans="1:22" x14ac:dyDescent="0.3">
      <c r="A341" t="s">
        <v>352</v>
      </c>
      <c r="B341" s="4">
        <v>45719</v>
      </c>
      <c r="C341" t="s">
        <v>576</v>
      </c>
      <c r="D341" t="str">
        <f t="shared" si="45"/>
        <v>Chloe Lewis</v>
      </c>
      <c r="E341" t="s">
        <v>620</v>
      </c>
      <c r="F341" t="str">
        <f t="shared" si="46"/>
        <v>India</v>
      </c>
      <c r="G341" t="s">
        <v>629</v>
      </c>
      <c r="H341" t="s">
        <v>640</v>
      </c>
      <c r="I341">
        <v>4</v>
      </c>
      <c r="J341" s="1">
        <v>92</v>
      </c>
      <c r="K341" s="1">
        <v>53</v>
      </c>
      <c r="L341" s="2">
        <v>0</v>
      </c>
      <c r="M341" t="s">
        <v>645</v>
      </c>
      <c r="N341" t="str">
        <f t="shared" si="47"/>
        <v>Bank Transfer</v>
      </c>
      <c r="O341" t="s">
        <v>650</v>
      </c>
      <c r="P341" t="str">
        <f t="shared" si="48"/>
        <v>Cancelled</v>
      </c>
      <c r="Q341" t="str">
        <f t="shared" si="49"/>
        <v>Valid</v>
      </c>
      <c r="R341" t="s">
        <v>669</v>
      </c>
      <c r="S341">
        <f t="shared" si="50"/>
        <v>368</v>
      </c>
      <c r="T341">
        <f t="shared" si="51"/>
        <v>212</v>
      </c>
      <c r="U341">
        <f t="shared" si="52"/>
        <v>156</v>
      </c>
      <c r="V341" s="8">
        <f t="shared" si="53"/>
        <v>0.42391304347826086</v>
      </c>
    </row>
    <row r="342" spans="1:22" x14ac:dyDescent="0.3">
      <c r="A342" t="s">
        <v>353</v>
      </c>
      <c r="B342" s="4">
        <v>45841</v>
      </c>
      <c r="C342" t="s">
        <v>583</v>
      </c>
      <c r="D342" t="str">
        <f t="shared" si="45"/>
        <v>Ethan Anderson</v>
      </c>
      <c r="E342" t="s">
        <v>614</v>
      </c>
      <c r="F342" t="str">
        <f t="shared" si="46"/>
        <v>Australia</v>
      </c>
      <c r="G342" t="s">
        <v>631</v>
      </c>
      <c r="H342" t="s">
        <v>641</v>
      </c>
      <c r="I342">
        <v>2</v>
      </c>
      <c r="J342" s="1">
        <v>85</v>
      </c>
      <c r="K342" s="1">
        <v>44</v>
      </c>
      <c r="L342" s="2">
        <v>0.1</v>
      </c>
      <c r="M342" t="s">
        <v>646</v>
      </c>
      <c r="N342" t="str">
        <f t="shared" si="47"/>
        <v>Debit Card</v>
      </c>
      <c r="O342" t="s">
        <v>648</v>
      </c>
      <c r="P342" t="str">
        <f t="shared" si="48"/>
        <v>Completed</v>
      </c>
      <c r="Q342" t="str">
        <f t="shared" si="49"/>
        <v>Invalid</v>
      </c>
      <c r="R342" t="s">
        <v>682</v>
      </c>
      <c r="S342">
        <f t="shared" si="50"/>
        <v>153</v>
      </c>
      <c r="T342">
        <f t="shared" si="51"/>
        <v>88</v>
      </c>
      <c r="U342">
        <f t="shared" si="52"/>
        <v>65</v>
      </c>
      <c r="V342" s="8">
        <f t="shared" si="53"/>
        <v>0.42483660130718953</v>
      </c>
    </row>
    <row r="343" spans="1:22" x14ac:dyDescent="0.3">
      <c r="A343" t="s">
        <v>354</v>
      </c>
      <c r="B343" s="4">
        <v>45937</v>
      </c>
      <c r="C343" t="s">
        <v>580</v>
      </c>
      <c r="D343" t="str">
        <f t="shared" si="45"/>
        <v>Benjamin Walker</v>
      </c>
      <c r="E343" t="s">
        <v>602</v>
      </c>
      <c r="F343" t="str">
        <f t="shared" si="46"/>
        <v>Australia</v>
      </c>
      <c r="G343" t="s">
        <v>637</v>
      </c>
      <c r="H343" t="s">
        <v>641</v>
      </c>
      <c r="I343">
        <v>3</v>
      </c>
      <c r="J343" s="1">
        <v>175</v>
      </c>
      <c r="K343" s="1">
        <v>105</v>
      </c>
      <c r="L343" s="2">
        <v>0</v>
      </c>
      <c r="M343" t="s">
        <v>646</v>
      </c>
      <c r="N343" t="str">
        <f t="shared" si="47"/>
        <v>Debit Card</v>
      </c>
      <c r="O343" t="s">
        <v>650</v>
      </c>
      <c r="P343" t="str">
        <f t="shared" si="48"/>
        <v>Cancelled</v>
      </c>
      <c r="Q343" t="str">
        <f t="shared" si="49"/>
        <v>Valid</v>
      </c>
      <c r="R343" t="s">
        <v>672</v>
      </c>
      <c r="S343">
        <f t="shared" si="50"/>
        <v>525</v>
      </c>
      <c r="T343">
        <f t="shared" si="51"/>
        <v>315</v>
      </c>
      <c r="U343">
        <f t="shared" si="52"/>
        <v>210</v>
      </c>
      <c r="V343" s="8">
        <f t="shared" si="53"/>
        <v>0.4</v>
      </c>
    </row>
    <row r="344" spans="1:22" x14ac:dyDescent="0.3">
      <c r="A344" t="s">
        <v>355</v>
      </c>
      <c r="B344" s="4">
        <v>46016</v>
      </c>
      <c r="C344" t="s">
        <v>583</v>
      </c>
      <c r="D344" t="str">
        <f t="shared" si="45"/>
        <v>Ethan Anderson</v>
      </c>
      <c r="E344" t="s">
        <v>603</v>
      </c>
      <c r="F344" t="str">
        <f t="shared" si="46"/>
        <v>Germany</v>
      </c>
      <c r="G344" t="s">
        <v>629</v>
      </c>
      <c r="H344" t="s">
        <v>640</v>
      </c>
      <c r="I344">
        <v>1</v>
      </c>
      <c r="J344" s="1">
        <v>92</v>
      </c>
      <c r="K344" s="1">
        <v>53</v>
      </c>
      <c r="L344" s="2">
        <v>0.1</v>
      </c>
      <c r="M344" t="s">
        <v>642</v>
      </c>
      <c r="N344" t="s">
        <v>644</v>
      </c>
      <c r="O344" t="s">
        <v>648</v>
      </c>
      <c r="P344" t="str">
        <f t="shared" si="48"/>
        <v>Completed</v>
      </c>
      <c r="Q344" t="str">
        <f t="shared" si="49"/>
        <v>Valid</v>
      </c>
      <c r="R344" t="s">
        <v>673</v>
      </c>
      <c r="S344">
        <f t="shared" si="50"/>
        <v>82.8</v>
      </c>
      <c r="T344">
        <f t="shared" si="51"/>
        <v>53</v>
      </c>
      <c r="U344">
        <f t="shared" si="52"/>
        <v>29.799999999999997</v>
      </c>
      <c r="V344" s="8">
        <f t="shared" si="53"/>
        <v>0.35990338164251207</v>
      </c>
    </row>
    <row r="345" spans="1:22" x14ac:dyDescent="0.3">
      <c r="A345" t="s">
        <v>356</v>
      </c>
      <c r="B345" s="4">
        <v>45993</v>
      </c>
      <c r="C345" t="s">
        <v>575</v>
      </c>
      <c r="D345" t="str">
        <f t="shared" si="45"/>
        <v>Lucas Jackson</v>
      </c>
      <c r="E345" t="s">
        <v>613</v>
      </c>
      <c r="F345" t="str">
        <f t="shared" si="46"/>
        <v>Singapore</v>
      </c>
      <c r="G345" t="s">
        <v>632</v>
      </c>
      <c r="H345" t="s">
        <v>639</v>
      </c>
      <c r="I345">
        <v>3</v>
      </c>
      <c r="J345" s="1">
        <v>42</v>
      </c>
      <c r="K345" s="1">
        <v>21</v>
      </c>
      <c r="L345" s="2">
        <v>0.05</v>
      </c>
      <c r="M345" t="s">
        <v>644</v>
      </c>
      <c r="N345" t="s">
        <v>644</v>
      </c>
      <c r="O345" t="s">
        <v>651</v>
      </c>
      <c r="P345" t="str">
        <f t="shared" si="48"/>
        <v>Shipped</v>
      </c>
      <c r="Q345" t="str">
        <f t="shared" si="49"/>
        <v>Valid</v>
      </c>
      <c r="R345" t="s">
        <v>668</v>
      </c>
      <c r="S345">
        <f t="shared" si="50"/>
        <v>119.69999999999999</v>
      </c>
      <c r="T345">
        <f t="shared" si="51"/>
        <v>63</v>
      </c>
      <c r="U345">
        <f t="shared" si="52"/>
        <v>56.699999999999989</v>
      </c>
      <c r="V345" s="8">
        <f t="shared" si="53"/>
        <v>0.47368421052631576</v>
      </c>
    </row>
    <row r="346" spans="1:22" x14ac:dyDescent="0.3">
      <c r="A346" t="s">
        <v>357</v>
      </c>
      <c r="B346" s="4">
        <v>45884</v>
      </c>
      <c r="C346" t="s">
        <v>564</v>
      </c>
      <c r="D346" t="str">
        <f t="shared" si="45"/>
        <v>Ava Thomas</v>
      </c>
      <c r="E346" t="s">
        <v>612</v>
      </c>
      <c r="F346" t="str">
        <f t="shared" si="46"/>
        <v>United Kingdom</v>
      </c>
      <c r="G346" t="s">
        <v>631</v>
      </c>
      <c r="H346" t="s">
        <v>641</v>
      </c>
      <c r="I346">
        <v>5</v>
      </c>
      <c r="J346" s="1">
        <v>85</v>
      </c>
      <c r="K346" s="1">
        <v>44</v>
      </c>
      <c r="L346" s="2">
        <v>0.1</v>
      </c>
      <c r="M346" t="s">
        <v>645</v>
      </c>
      <c r="N346" t="str">
        <f t="shared" si="47"/>
        <v>Bank Transfer</v>
      </c>
      <c r="O346" t="s">
        <v>648</v>
      </c>
      <c r="P346" t="str">
        <f t="shared" si="48"/>
        <v>Completed</v>
      </c>
      <c r="Q346" t="str">
        <f t="shared" si="49"/>
        <v>Valid</v>
      </c>
      <c r="R346" t="s">
        <v>657</v>
      </c>
      <c r="S346">
        <f t="shared" si="50"/>
        <v>382.5</v>
      </c>
      <c r="T346">
        <f t="shared" si="51"/>
        <v>220</v>
      </c>
      <c r="U346">
        <f t="shared" si="52"/>
        <v>162.5</v>
      </c>
      <c r="V346" s="8">
        <f t="shared" si="53"/>
        <v>0.42483660130718953</v>
      </c>
    </row>
    <row r="347" spans="1:22" x14ac:dyDescent="0.3">
      <c r="A347" t="s">
        <v>358</v>
      </c>
      <c r="B347" s="4">
        <v>45781</v>
      </c>
      <c r="C347" t="s">
        <v>567</v>
      </c>
      <c r="D347" t="str">
        <f t="shared" si="45"/>
        <v>Sophia Taylor</v>
      </c>
      <c r="E347" t="s">
        <v>615</v>
      </c>
      <c r="F347" t="str">
        <f t="shared" si="46"/>
        <v>Canada</v>
      </c>
      <c r="G347" t="s">
        <v>635</v>
      </c>
      <c r="H347" t="s">
        <v>639</v>
      </c>
      <c r="I347">
        <v>4</v>
      </c>
      <c r="J347" s="1">
        <v>65</v>
      </c>
      <c r="K347" s="1">
        <v>31</v>
      </c>
      <c r="L347" s="2">
        <v>0.1</v>
      </c>
      <c r="M347" t="s">
        <v>645</v>
      </c>
      <c r="N347" t="str">
        <f t="shared" si="47"/>
        <v>Bank Transfer</v>
      </c>
      <c r="O347" t="s">
        <v>648</v>
      </c>
      <c r="P347" t="str">
        <f t="shared" si="48"/>
        <v>Completed</v>
      </c>
      <c r="Q347" t="str">
        <f t="shared" si="49"/>
        <v>Valid</v>
      </c>
      <c r="R347" t="s">
        <v>660</v>
      </c>
      <c r="S347">
        <f t="shared" si="50"/>
        <v>234</v>
      </c>
      <c r="T347">
        <f t="shared" si="51"/>
        <v>124</v>
      </c>
      <c r="U347">
        <f t="shared" si="52"/>
        <v>110</v>
      </c>
      <c r="V347" s="8">
        <f t="shared" si="53"/>
        <v>0.47008547008547008</v>
      </c>
    </row>
    <row r="348" spans="1:22" x14ac:dyDescent="0.3">
      <c r="A348" t="s">
        <v>359</v>
      </c>
      <c r="B348" s="4">
        <v>45765</v>
      </c>
      <c r="C348" t="s">
        <v>567</v>
      </c>
      <c r="D348" t="str">
        <f t="shared" si="45"/>
        <v>Sophia Taylor</v>
      </c>
      <c r="E348" t="s">
        <v>622</v>
      </c>
      <c r="F348" t="str">
        <f t="shared" si="46"/>
        <v>United Arab Emirates</v>
      </c>
      <c r="G348" t="s">
        <v>633</v>
      </c>
      <c r="H348" t="s">
        <v>638</v>
      </c>
      <c r="I348">
        <v>5</v>
      </c>
      <c r="J348" s="1">
        <v>210</v>
      </c>
      <c r="K348" s="1">
        <v>125</v>
      </c>
      <c r="L348" s="2">
        <v>0.1</v>
      </c>
      <c r="M348" t="s">
        <v>643</v>
      </c>
      <c r="N348" t="str">
        <f t="shared" si="47"/>
        <v>Credit Card</v>
      </c>
      <c r="O348" t="s">
        <v>651</v>
      </c>
      <c r="P348" t="str">
        <f t="shared" si="48"/>
        <v>Shipped</v>
      </c>
      <c r="Q348" t="str">
        <f t="shared" si="49"/>
        <v>Valid</v>
      </c>
      <c r="R348" t="s">
        <v>660</v>
      </c>
      <c r="S348">
        <f t="shared" si="50"/>
        <v>945</v>
      </c>
      <c r="T348">
        <f t="shared" si="51"/>
        <v>625</v>
      </c>
      <c r="U348">
        <f t="shared" si="52"/>
        <v>320</v>
      </c>
      <c r="V348" s="8">
        <f t="shared" si="53"/>
        <v>0.33862433862433861</v>
      </c>
    </row>
    <row r="349" spans="1:22" x14ac:dyDescent="0.3">
      <c r="A349" t="s">
        <v>360</v>
      </c>
      <c r="B349" s="4">
        <v>46010</v>
      </c>
      <c r="C349" t="s">
        <v>580</v>
      </c>
      <c r="D349" t="str">
        <f t="shared" si="45"/>
        <v>Benjamin Walker</v>
      </c>
      <c r="E349" t="s">
        <v>603</v>
      </c>
      <c r="F349" t="str">
        <f t="shared" si="46"/>
        <v>Germany</v>
      </c>
      <c r="G349" t="s">
        <v>629</v>
      </c>
      <c r="H349" t="s">
        <v>640</v>
      </c>
      <c r="I349">
        <v>3</v>
      </c>
      <c r="J349" s="1">
        <v>92</v>
      </c>
      <c r="K349" s="1">
        <v>53</v>
      </c>
      <c r="L349" s="2">
        <v>0.05</v>
      </c>
      <c r="M349" t="s">
        <v>643</v>
      </c>
      <c r="N349" t="str">
        <f t="shared" si="47"/>
        <v>Credit Card</v>
      </c>
      <c r="O349" t="s">
        <v>649</v>
      </c>
      <c r="P349" t="str">
        <f t="shared" si="48"/>
        <v>Pending</v>
      </c>
      <c r="Q349" t="str">
        <f t="shared" si="49"/>
        <v>Valid</v>
      </c>
      <c r="R349" t="s">
        <v>672</v>
      </c>
      <c r="S349">
        <f t="shared" si="50"/>
        <v>262.2</v>
      </c>
      <c r="T349">
        <f t="shared" si="51"/>
        <v>159</v>
      </c>
      <c r="U349">
        <f t="shared" si="52"/>
        <v>103.19999999999999</v>
      </c>
      <c r="V349" s="8">
        <f t="shared" si="53"/>
        <v>0.39359267734553771</v>
      </c>
    </row>
    <row r="350" spans="1:22" x14ac:dyDescent="0.3">
      <c r="A350" t="s">
        <v>361</v>
      </c>
      <c r="B350" s="4">
        <v>45776</v>
      </c>
      <c r="C350" t="s">
        <v>564</v>
      </c>
      <c r="D350" t="str">
        <f t="shared" si="45"/>
        <v>Ava Thomas</v>
      </c>
      <c r="E350" t="s">
        <v>607</v>
      </c>
      <c r="F350" t="str">
        <f t="shared" si="46"/>
        <v>Germany</v>
      </c>
      <c r="G350" t="s">
        <v>627</v>
      </c>
      <c r="H350" t="s">
        <v>639</v>
      </c>
      <c r="I350">
        <v>4</v>
      </c>
      <c r="J350" s="1">
        <v>38</v>
      </c>
      <c r="K350" s="1">
        <v>17</v>
      </c>
      <c r="L350" s="2">
        <v>0</v>
      </c>
      <c r="M350" t="s">
        <v>644</v>
      </c>
      <c r="N350" t="s">
        <v>644</v>
      </c>
      <c r="O350" t="s">
        <v>649</v>
      </c>
      <c r="P350" t="str">
        <f t="shared" si="48"/>
        <v>Pending</v>
      </c>
      <c r="Q350" t="str">
        <f t="shared" si="49"/>
        <v>Valid</v>
      </c>
      <c r="R350" t="s">
        <v>657</v>
      </c>
      <c r="S350">
        <f t="shared" si="50"/>
        <v>152</v>
      </c>
      <c r="T350">
        <f t="shared" si="51"/>
        <v>68</v>
      </c>
      <c r="U350">
        <f t="shared" si="52"/>
        <v>84</v>
      </c>
      <c r="V350" s="8">
        <f t="shared" si="53"/>
        <v>0.55263157894736847</v>
      </c>
    </row>
    <row r="351" spans="1:22" x14ac:dyDescent="0.3">
      <c r="A351" t="s">
        <v>362</v>
      </c>
      <c r="B351" s="4">
        <v>45766</v>
      </c>
      <c r="C351" t="s">
        <v>564</v>
      </c>
      <c r="D351" t="str">
        <f t="shared" si="45"/>
        <v>Ava Thomas</v>
      </c>
      <c r="E351" t="s">
        <v>608</v>
      </c>
      <c r="F351" t="str">
        <f t="shared" si="46"/>
        <v>India</v>
      </c>
      <c r="G351" t="s">
        <v>628</v>
      </c>
      <c r="H351" t="s">
        <v>639</v>
      </c>
      <c r="I351">
        <v>4</v>
      </c>
      <c r="J351" s="1">
        <v>18</v>
      </c>
      <c r="K351" s="1">
        <v>7</v>
      </c>
      <c r="L351" s="2">
        <v>0.1</v>
      </c>
      <c r="M351" t="s">
        <v>643</v>
      </c>
      <c r="N351" t="str">
        <f t="shared" si="47"/>
        <v>Credit Card</v>
      </c>
      <c r="O351" t="s">
        <v>651</v>
      </c>
      <c r="P351" t="str">
        <f t="shared" si="48"/>
        <v>Shipped</v>
      </c>
      <c r="Q351" t="str">
        <f t="shared" si="49"/>
        <v>Valid</v>
      </c>
      <c r="R351" t="s">
        <v>657</v>
      </c>
      <c r="S351">
        <f t="shared" si="50"/>
        <v>64.8</v>
      </c>
      <c r="T351">
        <f t="shared" si="51"/>
        <v>28</v>
      </c>
      <c r="U351">
        <f t="shared" si="52"/>
        <v>36.799999999999997</v>
      </c>
      <c r="V351" s="8">
        <f t="shared" si="53"/>
        <v>0.5679012345679012</v>
      </c>
    </row>
    <row r="352" spans="1:22" x14ac:dyDescent="0.3">
      <c r="A352" t="s">
        <v>363</v>
      </c>
      <c r="B352" s="4">
        <v>45747</v>
      </c>
      <c r="C352" t="s">
        <v>573</v>
      </c>
      <c r="D352" t="str">
        <f t="shared" si="45"/>
        <v>Noah Brown</v>
      </c>
      <c r="E352" t="s">
        <v>599</v>
      </c>
      <c r="F352" t="str">
        <f t="shared" si="46"/>
        <v>United Arab Emirates</v>
      </c>
      <c r="G352" t="s">
        <v>636</v>
      </c>
      <c r="H352" t="s">
        <v>641</v>
      </c>
      <c r="I352">
        <v>4</v>
      </c>
      <c r="J352" s="1">
        <v>245</v>
      </c>
      <c r="K352" s="1">
        <v>150</v>
      </c>
      <c r="L352" s="2">
        <v>0.2</v>
      </c>
      <c r="M352" t="s">
        <v>643</v>
      </c>
      <c r="N352" t="str">
        <f t="shared" si="47"/>
        <v>Credit Card</v>
      </c>
      <c r="O352" t="s">
        <v>653</v>
      </c>
      <c r="P352" t="str">
        <f t="shared" si="48"/>
        <v>Pending</v>
      </c>
      <c r="Q352" t="str">
        <f t="shared" si="49"/>
        <v>Valid</v>
      </c>
      <c r="R352" t="s">
        <v>667</v>
      </c>
      <c r="S352">
        <f t="shared" si="50"/>
        <v>784</v>
      </c>
      <c r="T352">
        <f t="shared" si="51"/>
        <v>600</v>
      </c>
      <c r="U352">
        <f t="shared" si="52"/>
        <v>184</v>
      </c>
      <c r="V352" s="8">
        <f t="shared" si="53"/>
        <v>0.23469387755102042</v>
      </c>
    </row>
    <row r="353" spans="1:22" x14ac:dyDescent="0.3">
      <c r="A353" t="s">
        <v>364</v>
      </c>
      <c r="B353" s="4">
        <v>45883</v>
      </c>
      <c r="C353" t="s">
        <v>594</v>
      </c>
      <c r="D353" t="str">
        <f t="shared" si="45"/>
        <v>Lucas Jackson</v>
      </c>
      <c r="E353" t="s">
        <v>615</v>
      </c>
      <c r="F353" t="str">
        <f t="shared" si="46"/>
        <v>Canada</v>
      </c>
      <c r="G353" t="s">
        <v>636</v>
      </c>
      <c r="H353" t="s">
        <v>641</v>
      </c>
      <c r="I353">
        <v>3</v>
      </c>
      <c r="J353" s="1">
        <v>245</v>
      </c>
      <c r="K353" s="1">
        <v>150</v>
      </c>
      <c r="L353" s="2">
        <v>0</v>
      </c>
      <c r="M353" t="s">
        <v>644</v>
      </c>
      <c r="N353" t="s">
        <v>644</v>
      </c>
      <c r="O353" t="s">
        <v>651</v>
      </c>
      <c r="P353" t="str">
        <f t="shared" si="48"/>
        <v>Shipped</v>
      </c>
      <c r="Q353" t="str">
        <f t="shared" si="49"/>
        <v>Valid</v>
      </c>
      <c r="R353" t="s">
        <v>668</v>
      </c>
      <c r="S353">
        <f t="shared" si="50"/>
        <v>735</v>
      </c>
      <c r="T353">
        <f t="shared" si="51"/>
        <v>450</v>
      </c>
      <c r="U353">
        <f t="shared" si="52"/>
        <v>285</v>
      </c>
      <c r="V353" s="8">
        <f t="shared" si="53"/>
        <v>0.38775510204081631</v>
      </c>
    </row>
    <row r="354" spans="1:22" x14ac:dyDescent="0.3">
      <c r="A354" t="s">
        <v>365</v>
      </c>
      <c r="B354" s="4">
        <v>45693</v>
      </c>
      <c r="C354" t="s">
        <v>578</v>
      </c>
      <c r="D354" t="str">
        <f t="shared" si="45"/>
        <v>Ella Martin</v>
      </c>
      <c r="E354" t="s">
        <v>616</v>
      </c>
      <c r="F354" t="str">
        <f t="shared" si="46"/>
        <v>United Kingdom</v>
      </c>
      <c r="G354" t="s">
        <v>634</v>
      </c>
      <c r="H354" t="s">
        <v>641</v>
      </c>
      <c r="I354">
        <v>2</v>
      </c>
      <c r="J354" s="1">
        <v>59</v>
      </c>
      <c r="K354" s="1">
        <v>30</v>
      </c>
      <c r="L354" s="2">
        <v>0.15</v>
      </c>
      <c r="M354" t="s">
        <v>646</v>
      </c>
      <c r="N354" t="str">
        <f t="shared" si="47"/>
        <v>Debit Card</v>
      </c>
      <c r="O354" t="s">
        <v>650</v>
      </c>
      <c r="P354" t="str">
        <f t="shared" si="48"/>
        <v>Cancelled</v>
      </c>
      <c r="Q354" t="str">
        <f t="shared" si="49"/>
        <v>Valid</v>
      </c>
      <c r="R354" t="s">
        <v>671</v>
      </c>
      <c r="S354">
        <f t="shared" si="50"/>
        <v>100.3</v>
      </c>
      <c r="T354">
        <f t="shared" si="51"/>
        <v>60</v>
      </c>
      <c r="U354">
        <f t="shared" si="52"/>
        <v>40.299999999999997</v>
      </c>
      <c r="V354" s="8">
        <f t="shared" si="53"/>
        <v>0.40179461615154533</v>
      </c>
    </row>
    <row r="355" spans="1:22" x14ac:dyDescent="0.3">
      <c r="A355" t="s">
        <v>366</v>
      </c>
      <c r="B355" s="4">
        <v>45733</v>
      </c>
      <c r="C355" t="s">
        <v>577</v>
      </c>
      <c r="D355" t="str">
        <f t="shared" si="45"/>
        <v>Emma Wilson</v>
      </c>
      <c r="E355" t="s">
        <v>613</v>
      </c>
      <c r="F355" t="str">
        <f t="shared" si="46"/>
        <v>Singapore</v>
      </c>
      <c r="G355" t="s">
        <v>635</v>
      </c>
      <c r="H355" t="s">
        <v>639</v>
      </c>
      <c r="I355">
        <v>4</v>
      </c>
      <c r="J355" s="1">
        <v>65</v>
      </c>
      <c r="K355" s="1">
        <v>31</v>
      </c>
      <c r="L355" s="2">
        <v>0.05</v>
      </c>
      <c r="M355" t="s">
        <v>642</v>
      </c>
      <c r="N355" t="s">
        <v>644</v>
      </c>
      <c r="O355" t="s">
        <v>651</v>
      </c>
      <c r="P355" t="str">
        <f t="shared" si="48"/>
        <v>Shipped</v>
      </c>
      <c r="Q355" t="str">
        <f t="shared" si="49"/>
        <v>Valid</v>
      </c>
      <c r="R355" t="s">
        <v>670</v>
      </c>
      <c r="S355">
        <f t="shared" si="50"/>
        <v>247</v>
      </c>
      <c r="T355">
        <f t="shared" si="51"/>
        <v>124</v>
      </c>
      <c r="U355">
        <f t="shared" si="52"/>
        <v>123</v>
      </c>
      <c r="V355" s="8">
        <f t="shared" si="53"/>
        <v>0.49797570850202427</v>
      </c>
    </row>
    <row r="356" spans="1:22" x14ac:dyDescent="0.3">
      <c r="A356" t="s">
        <v>367</v>
      </c>
      <c r="B356" s="4">
        <v>45763</v>
      </c>
      <c r="C356" t="s">
        <v>580</v>
      </c>
      <c r="D356" t="str">
        <f t="shared" si="45"/>
        <v>Benjamin Walker</v>
      </c>
      <c r="E356" t="s">
        <v>614</v>
      </c>
      <c r="F356" t="str">
        <f t="shared" si="46"/>
        <v>Australia</v>
      </c>
      <c r="G356" t="s">
        <v>627</v>
      </c>
      <c r="H356" t="s">
        <v>639</v>
      </c>
      <c r="I356">
        <v>1</v>
      </c>
      <c r="J356" s="1">
        <v>38</v>
      </c>
      <c r="K356" s="1">
        <v>17</v>
      </c>
      <c r="L356" s="2">
        <v>0</v>
      </c>
      <c r="M356" t="s">
        <v>642</v>
      </c>
      <c r="N356" t="s">
        <v>644</v>
      </c>
      <c r="O356" t="s">
        <v>648</v>
      </c>
      <c r="P356" t="str">
        <f t="shared" si="48"/>
        <v>Completed</v>
      </c>
      <c r="Q356" t="str">
        <f t="shared" si="49"/>
        <v>Valid</v>
      </c>
      <c r="R356" t="s">
        <v>672</v>
      </c>
      <c r="S356">
        <f t="shared" si="50"/>
        <v>38</v>
      </c>
      <c r="T356">
        <f t="shared" si="51"/>
        <v>17</v>
      </c>
      <c r="U356">
        <f t="shared" si="52"/>
        <v>21</v>
      </c>
      <c r="V356" s="8">
        <f t="shared" si="53"/>
        <v>0.55263157894736847</v>
      </c>
    </row>
    <row r="357" spans="1:22" x14ac:dyDescent="0.3">
      <c r="A357" t="s">
        <v>368</v>
      </c>
      <c r="B357" s="4">
        <v>45919</v>
      </c>
      <c r="C357" t="s">
        <v>572</v>
      </c>
      <c r="D357" t="str">
        <f t="shared" si="45"/>
        <v>Olivia Davis</v>
      </c>
      <c r="E357" t="s">
        <v>601</v>
      </c>
      <c r="F357" t="str">
        <f t="shared" si="46"/>
        <v>United Kingdom</v>
      </c>
      <c r="G357" t="s">
        <v>627</v>
      </c>
      <c r="H357" t="s">
        <v>639</v>
      </c>
      <c r="I357">
        <v>5</v>
      </c>
      <c r="J357" s="1">
        <v>38</v>
      </c>
      <c r="K357" s="1">
        <v>17</v>
      </c>
      <c r="L357" s="2">
        <v>0.05</v>
      </c>
      <c r="M357" t="s">
        <v>645</v>
      </c>
      <c r="N357" t="str">
        <f t="shared" si="47"/>
        <v>Bank Transfer</v>
      </c>
      <c r="O357" t="s">
        <v>648</v>
      </c>
      <c r="P357" t="str">
        <f t="shared" si="48"/>
        <v>Completed</v>
      </c>
      <c r="Q357" t="str">
        <f t="shared" si="49"/>
        <v>Valid</v>
      </c>
      <c r="R357" t="s">
        <v>665</v>
      </c>
      <c r="S357">
        <f t="shared" si="50"/>
        <v>180.5</v>
      </c>
      <c r="T357">
        <f t="shared" si="51"/>
        <v>85</v>
      </c>
      <c r="U357">
        <f t="shared" si="52"/>
        <v>95.5</v>
      </c>
      <c r="V357" s="8">
        <f t="shared" si="53"/>
        <v>0.52908587257617734</v>
      </c>
    </row>
    <row r="358" spans="1:22" x14ac:dyDescent="0.3">
      <c r="A358" t="s">
        <v>369</v>
      </c>
      <c r="B358" s="4">
        <v>45947</v>
      </c>
      <c r="C358" t="s">
        <v>569</v>
      </c>
      <c r="D358" t="str">
        <f t="shared" si="45"/>
        <v>Mia White</v>
      </c>
      <c r="E358" t="s">
        <v>621</v>
      </c>
      <c r="F358" t="str">
        <f t="shared" si="46"/>
        <v>Canada</v>
      </c>
      <c r="G358" t="s">
        <v>636</v>
      </c>
      <c r="H358" t="s">
        <v>641</v>
      </c>
      <c r="I358">
        <v>5</v>
      </c>
      <c r="J358" s="1">
        <v>245</v>
      </c>
      <c r="K358" s="1">
        <v>150</v>
      </c>
      <c r="L358" s="2">
        <v>0.1</v>
      </c>
      <c r="M358" t="s">
        <v>647</v>
      </c>
      <c r="N358" t="str">
        <f t="shared" si="47"/>
        <v>Credit Card</v>
      </c>
      <c r="O358" t="s">
        <v>648</v>
      </c>
      <c r="P358" t="str">
        <f t="shared" si="48"/>
        <v>Completed</v>
      </c>
      <c r="Q358" t="str">
        <f t="shared" si="49"/>
        <v>Valid</v>
      </c>
      <c r="R358" t="s">
        <v>662</v>
      </c>
      <c r="S358">
        <f t="shared" si="50"/>
        <v>1102.5</v>
      </c>
      <c r="T358">
        <f t="shared" si="51"/>
        <v>750</v>
      </c>
      <c r="U358">
        <f t="shared" si="52"/>
        <v>352.5</v>
      </c>
      <c r="V358" s="8">
        <f t="shared" si="53"/>
        <v>0.31972789115646261</v>
      </c>
    </row>
    <row r="359" spans="1:22" x14ac:dyDescent="0.3">
      <c r="A359" t="s">
        <v>370</v>
      </c>
      <c r="B359" s="4">
        <v>46022</v>
      </c>
      <c r="C359" t="s">
        <v>580</v>
      </c>
      <c r="D359" t="str">
        <f t="shared" si="45"/>
        <v>Benjamin Walker</v>
      </c>
      <c r="E359" t="s">
        <v>600</v>
      </c>
      <c r="F359" t="str">
        <f t="shared" si="46"/>
        <v>Australia</v>
      </c>
      <c r="G359" t="s">
        <v>631</v>
      </c>
      <c r="H359" t="s">
        <v>641</v>
      </c>
      <c r="I359">
        <v>5</v>
      </c>
      <c r="J359" s="1">
        <v>85</v>
      </c>
      <c r="K359" s="1">
        <v>44</v>
      </c>
      <c r="L359" s="2">
        <v>0</v>
      </c>
      <c r="M359" t="s">
        <v>643</v>
      </c>
      <c r="N359" t="str">
        <f t="shared" si="47"/>
        <v>Credit Card</v>
      </c>
      <c r="O359" t="s">
        <v>649</v>
      </c>
      <c r="P359" t="str">
        <f t="shared" si="48"/>
        <v>Pending</v>
      </c>
      <c r="Q359" t="str">
        <f t="shared" si="49"/>
        <v>Valid</v>
      </c>
      <c r="R359" t="s">
        <v>672</v>
      </c>
      <c r="S359">
        <f t="shared" si="50"/>
        <v>425</v>
      </c>
      <c r="T359">
        <f t="shared" si="51"/>
        <v>220</v>
      </c>
      <c r="U359">
        <f t="shared" si="52"/>
        <v>205</v>
      </c>
      <c r="V359" s="8">
        <f t="shared" si="53"/>
        <v>0.4823529411764706</v>
      </c>
    </row>
    <row r="360" spans="1:22" x14ac:dyDescent="0.3">
      <c r="A360" t="s">
        <v>371</v>
      </c>
      <c r="B360" s="4">
        <v>45894</v>
      </c>
      <c r="C360" t="s">
        <v>573</v>
      </c>
      <c r="D360" t="str">
        <f t="shared" si="45"/>
        <v>Noah Brown</v>
      </c>
      <c r="E360" t="s">
        <v>613</v>
      </c>
      <c r="F360" t="str">
        <f t="shared" si="46"/>
        <v>Singapore</v>
      </c>
      <c r="G360" t="s">
        <v>631</v>
      </c>
      <c r="H360" t="s">
        <v>641</v>
      </c>
      <c r="I360">
        <v>4</v>
      </c>
      <c r="J360" s="1">
        <v>85</v>
      </c>
      <c r="K360" s="1">
        <v>44</v>
      </c>
      <c r="L360" s="2">
        <v>0</v>
      </c>
      <c r="M360" t="s">
        <v>644</v>
      </c>
      <c r="N360" t="s">
        <v>644</v>
      </c>
      <c r="O360" t="s">
        <v>649</v>
      </c>
      <c r="P360" t="str">
        <f t="shared" si="48"/>
        <v>Pending</v>
      </c>
      <c r="Q360" t="str">
        <f t="shared" si="49"/>
        <v>Valid</v>
      </c>
      <c r="R360" t="s">
        <v>667</v>
      </c>
      <c r="S360">
        <f t="shared" si="50"/>
        <v>340</v>
      </c>
      <c r="T360">
        <f t="shared" si="51"/>
        <v>176</v>
      </c>
      <c r="U360">
        <f t="shared" si="52"/>
        <v>164</v>
      </c>
      <c r="V360" s="8">
        <f t="shared" si="53"/>
        <v>0.4823529411764706</v>
      </c>
    </row>
    <row r="361" spans="1:22" x14ac:dyDescent="0.3">
      <c r="A361" t="s">
        <v>372</v>
      </c>
      <c r="B361" s="4">
        <v>45797</v>
      </c>
      <c r="C361" t="s">
        <v>576</v>
      </c>
      <c r="D361" t="str">
        <f t="shared" si="45"/>
        <v>Chloe Lewis</v>
      </c>
      <c r="E361" t="s">
        <v>622</v>
      </c>
      <c r="F361" t="str">
        <f t="shared" si="46"/>
        <v>United Arab Emirates</v>
      </c>
      <c r="G361" t="s">
        <v>628</v>
      </c>
      <c r="H361" t="s">
        <v>639</v>
      </c>
      <c r="I361">
        <v>5</v>
      </c>
      <c r="J361" s="1">
        <v>18</v>
      </c>
      <c r="K361" s="1">
        <v>7</v>
      </c>
      <c r="L361" s="2">
        <v>0</v>
      </c>
      <c r="M361" t="s">
        <v>643</v>
      </c>
      <c r="N361" t="str">
        <f t="shared" si="47"/>
        <v>Credit Card</v>
      </c>
      <c r="O361" t="s">
        <v>648</v>
      </c>
      <c r="P361" t="str">
        <f t="shared" si="48"/>
        <v>Completed</v>
      </c>
      <c r="Q361" t="str">
        <f t="shared" si="49"/>
        <v>Valid</v>
      </c>
      <c r="R361" t="s">
        <v>669</v>
      </c>
      <c r="S361">
        <f t="shared" si="50"/>
        <v>90</v>
      </c>
      <c r="T361">
        <f t="shared" si="51"/>
        <v>35</v>
      </c>
      <c r="U361">
        <f t="shared" si="52"/>
        <v>55</v>
      </c>
      <c r="V361" s="8">
        <f t="shared" si="53"/>
        <v>0.61111111111111116</v>
      </c>
    </row>
    <row r="362" spans="1:22" x14ac:dyDescent="0.3">
      <c r="A362" t="s">
        <v>373</v>
      </c>
      <c r="B362" s="4">
        <v>45732</v>
      </c>
      <c r="C362" t="s">
        <v>566</v>
      </c>
      <c r="D362" t="str">
        <f t="shared" si="45"/>
        <v>Lily Hall</v>
      </c>
      <c r="E362" t="s">
        <v>608</v>
      </c>
      <c r="F362" t="str">
        <f t="shared" si="46"/>
        <v>India</v>
      </c>
      <c r="G362" t="s">
        <v>633</v>
      </c>
      <c r="H362" t="s">
        <v>638</v>
      </c>
      <c r="I362">
        <v>3</v>
      </c>
      <c r="J362" s="1">
        <v>210</v>
      </c>
      <c r="K362" s="1">
        <v>125</v>
      </c>
      <c r="L362" s="2">
        <v>0.15</v>
      </c>
      <c r="M362" t="s">
        <v>646</v>
      </c>
      <c r="N362" t="str">
        <f t="shared" si="47"/>
        <v>Debit Card</v>
      </c>
      <c r="O362" t="s">
        <v>650</v>
      </c>
      <c r="P362" t="str">
        <f t="shared" si="48"/>
        <v>Cancelled</v>
      </c>
      <c r="Q362" t="str">
        <f t="shared" si="49"/>
        <v>Valid</v>
      </c>
      <c r="R362" t="s">
        <v>659</v>
      </c>
      <c r="S362">
        <f t="shared" si="50"/>
        <v>535.5</v>
      </c>
      <c r="T362">
        <f t="shared" si="51"/>
        <v>375</v>
      </c>
      <c r="U362">
        <f t="shared" si="52"/>
        <v>160.5</v>
      </c>
      <c r="V362" s="8">
        <f t="shared" si="53"/>
        <v>0.29971988795518206</v>
      </c>
    </row>
    <row r="363" spans="1:22" x14ac:dyDescent="0.3">
      <c r="A363" t="s">
        <v>374</v>
      </c>
      <c r="B363" s="4">
        <v>45896</v>
      </c>
      <c r="C363" t="s">
        <v>567</v>
      </c>
      <c r="D363" t="str">
        <f t="shared" si="45"/>
        <v>Sophia Taylor</v>
      </c>
      <c r="E363" t="s">
        <v>610</v>
      </c>
      <c r="F363" t="str">
        <f t="shared" si="46"/>
        <v>United Arab Emirates</v>
      </c>
      <c r="G363" t="s">
        <v>632</v>
      </c>
      <c r="H363" t="s">
        <v>639</v>
      </c>
      <c r="I363">
        <v>4</v>
      </c>
      <c r="J363" s="1">
        <v>42</v>
      </c>
      <c r="K363" s="1">
        <v>21</v>
      </c>
      <c r="L363" s="2">
        <v>0.2</v>
      </c>
      <c r="M363" t="s">
        <v>643</v>
      </c>
      <c r="N363" t="str">
        <f t="shared" si="47"/>
        <v>Credit Card</v>
      </c>
      <c r="O363" t="s">
        <v>648</v>
      </c>
      <c r="P363" t="str">
        <f t="shared" si="48"/>
        <v>Completed</v>
      </c>
      <c r="Q363" t="str">
        <f t="shared" si="49"/>
        <v>Valid</v>
      </c>
      <c r="R363" t="s">
        <v>660</v>
      </c>
      <c r="S363">
        <f t="shared" si="50"/>
        <v>134.4</v>
      </c>
      <c r="T363">
        <f t="shared" si="51"/>
        <v>84</v>
      </c>
      <c r="U363">
        <f t="shared" si="52"/>
        <v>50.400000000000006</v>
      </c>
      <c r="V363" s="8">
        <f t="shared" si="53"/>
        <v>0.375</v>
      </c>
    </row>
    <row r="364" spans="1:22" x14ac:dyDescent="0.3">
      <c r="A364" t="s">
        <v>375</v>
      </c>
      <c r="B364" s="4">
        <v>45806</v>
      </c>
      <c r="C364" t="s">
        <v>568</v>
      </c>
      <c r="D364" t="str">
        <f t="shared" si="45"/>
        <v>Daniel Harris</v>
      </c>
      <c r="E364" t="s">
        <v>603</v>
      </c>
      <c r="F364" t="str">
        <f t="shared" si="46"/>
        <v>Germany</v>
      </c>
      <c r="G364" t="s">
        <v>629</v>
      </c>
      <c r="H364" t="s">
        <v>640</v>
      </c>
      <c r="I364">
        <v>4</v>
      </c>
      <c r="J364" s="1">
        <v>92</v>
      </c>
      <c r="K364" s="1">
        <v>53</v>
      </c>
      <c r="L364" s="2">
        <v>0.05</v>
      </c>
      <c r="M364" t="s">
        <v>646</v>
      </c>
      <c r="N364" t="str">
        <f t="shared" si="47"/>
        <v>Debit Card</v>
      </c>
      <c r="O364" t="s">
        <v>648</v>
      </c>
      <c r="P364" t="str">
        <f t="shared" si="48"/>
        <v>Completed</v>
      </c>
      <c r="Q364" t="str">
        <f t="shared" si="49"/>
        <v>Valid</v>
      </c>
      <c r="R364" t="s">
        <v>666</v>
      </c>
      <c r="S364">
        <f t="shared" si="50"/>
        <v>349.59999999999997</v>
      </c>
      <c r="T364">
        <f t="shared" si="51"/>
        <v>212</v>
      </c>
      <c r="U364">
        <f t="shared" si="52"/>
        <v>137.59999999999997</v>
      </c>
      <c r="V364" s="8">
        <f t="shared" si="53"/>
        <v>0.39359267734553771</v>
      </c>
    </row>
    <row r="365" spans="1:22" x14ac:dyDescent="0.3">
      <c r="A365" t="s">
        <v>376</v>
      </c>
      <c r="B365" s="4">
        <v>45779</v>
      </c>
      <c r="C365" t="s">
        <v>573</v>
      </c>
      <c r="D365" t="str">
        <f t="shared" si="45"/>
        <v>Noah Brown</v>
      </c>
      <c r="E365" t="s">
        <v>609</v>
      </c>
      <c r="F365" t="str">
        <f t="shared" si="46"/>
        <v>Singapore</v>
      </c>
      <c r="G365" t="s">
        <v>626</v>
      </c>
      <c r="H365" t="s">
        <v>638</v>
      </c>
      <c r="I365">
        <v>5</v>
      </c>
      <c r="J365" s="1">
        <v>36</v>
      </c>
      <c r="K365" s="1">
        <v>16</v>
      </c>
      <c r="L365" s="2">
        <v>0.2</v>
      </c>
      <c r="M365" t="s">
        <v>646</v>
      </c>
      <c r="N365" t="str">
        <f t="shared" si="47"/>
        <v>Debit Card</v>
      </c>
      <c r="O365" t="s">
        <v>651</v>
      </c>
      <c r="P365" t="str">
        <f t="shared" si="48"/>
        <v>Shipped</v>
      </c>
      <c r="Q365" t="str">
        <f t="shared" si="49"/>
        <v>Invalid</v>
      </c>
      <c r="R365" t="s">
        <v>680</v>
      </c>
      <c r="S365">
        <f t="shared" si="50"/>
        <v>144</v>
      </c>
      <c r="T365">
        <f t="shared" si="51"/>
        <v>80</v>
      </c>
      <c r="U365">
        <f t="shared" si="52"/>
        <v>64</v>
      </c>
      <c r="V365" s="8">
        <f t="shared" si="53"/>
        <v>0.44444444444444442</v>
      </c>
    </row>
    <row r="366" spans="1:22" x14ac:dyDescent="0.3">
      <c r="A366" t="s">
        <v>377</v>
      </c>
      <c r="B366" s="4">
        <v>45915</v>
      </c>
      <c r="C366" t="s">
        <v>593</v>
      </c>
      <c r="D366" t="str">
        <f t="shared" si="45"/>
        <v>Noah Brown</v>
      </c>
      <c r="E366" t="s">
        <v>617</v>
      </c>
      <c r="F366" t="str">
        <f t="shared" si="46"/>
        <v>Germany</v>
      </c>
      <c r="G366" t="s">
        <v>636</v>
      </c>
      <c r="H366" t="s">
        <v>641</v>
      </c>
      <c r="I366">
        <v>4</v>
      </c>
      <c r="J366" s="1">
        <v>245</v>
      </c>
      <c r="K366" s="1">
        <v>150</v>
      </c>
      <c r="L366" s="2">
        <v>0</v>
      </c>
      <c r="M366" t="s">
        <v>642</v>
      </c>
      <c r="N366" t="s">
        <v>644</v>
      </c>
      <c r="O366" t="s">
        <v>651</v>
      </c>
      <c r="P366" t="str">
        <f t="shared" si="48"/>
        <v>Shipped</v>
      </c>
      <c r="Q366" t="str">
        <f t="shared" si="49"/>
        <v>Valid</v>
      </c>
      <c r="R366" t="s">
        <v>667</v>
      </c>
      <c r="S366">
        <f t="shared" si="50"/>
        <v>980</v>
      </c>
      <c r="T366">
        <f t="shared" si="51"/>
        <v>600</v>
      </c>
      <c r="U366">
        <f t="shared" si="52"/>
        <v>380</v>
      </c>
      <c r="V366" s="8">
        <f t="shared" si="53"/>
        <v>0.38775510204081631</v>
      </c>
    </row>
    <row r="367" spans="1:22" x14ac:dyDescent="0.3">
      <c r="A367" t="s">
        <v>378</v>
      </c>
      <c r="B367" s="4">
        <v>45743</v>
      </c>
      <c r="C367" t="s">
        <v>575</v>
      </c>
      <c r="D367" t="str">
        <f t="shared" si="45"/>
        <v>Lucas Jackson</v>
      </c>
      <c r="E367" t="s">
        <v>608</v>
      </c>
      <c r="F367" t="str">
        <f t="shared" si="46"/>
        <v>India</v>
      </c>
      <c r="G367" t="s">
        <v>634</v>
      </c>
      <c r="H367" t="s">
        <v>641</v>
      </c>
      <c r="I367">
        <v>3</v>
      </c>
      <c r="J367" s="1">
        <v>59</v>
      </c>
      <c r="K367" s="1">
        <v>30</v>
      </c>
      <c r="L367" s="2">
        <v>0</v>
      </c>
      <c r="M367" t="s">
        <v>644</v>
      </c>
      <c r="N367" t="s">
        <v>644</v>
      </c>
      <c r="O367" t="s">
        <v>648</v>
      </c>
      <c r="P367" t="str">
        <f t="shared" si="48"/>
        <v>Completed</v>
      </c>
      <c r="Q367" t="str">
        <f t="shared" si="49"/>
        <v>Valid</v>
      </c>
      <c r="R367" t="s">
        <v>668</v>
      </c>
      <c r="S367">
        <f t="shared" si="50"/>
        <v>177</v>
      </c>
      <c r="T367">
        <f t="shared" si="51"/>
        <v>90</v>
      </c>
      <c r="U367">
        <f t="shared" si="52"/>
        <v>87</v>
      </c>
      <c r="V367" s="8">
        <f t="shared" si="53"/>
        <v>0.49152542372881358</v>
      </c>
    </row>
    <row r="368" spans="1:22" x14ac:dyDescent="0.3">
      <c r="A368" t="s">
        <v>379</v>
      </c>
      <c r="B368" s="4">
        <v>45670</v>
      </c>
      <c r="C368" t="s">
        <v>583</v>
      </c>
      <c r="D368" t="str">
        <f t="shared" si="45"/>
        <v>Ethan Anderson</v>
      </c>
      <c r="E368" t="s">
        <v>617</v>
      </c>
      <c r="F368" t="str">
        <f t="shared" si="46"/>
        <v>Germany</v>
      </c>
      <c r="G368" t="s">
        <v>633</v>
      </c>
      <c r="H368" t="s">
        <v>638</v>
      </c>
      <c r="I368">
        <v>5</v>
      </c>
      <c r="J368" s="1">
        <v>210</v>
      </c>
      <c r="K368" s="1">
        <v>125</v>
      </c>
      <c r="L368" s="2">
        <v>0.1</v>
      </c>
      <c r="M368" t="s">
        <v>644</v>
      </c>
      <c r="N368" t="s">
        <v>644</v>
      </c>
      <c r="O368" t="s">
        <v>650</v>
      </c>
      <c r="P368" t="str">
        <f t="shared" si="48"/>
        <v>Cancelled</v>
      </c>
      <c r="Q368" t="str">
        <f t="shared" si="49"/>
        <v>Valid</v>
      </c>
      <c r="R368" t="s">
        <v>673</v>
      </c>
      <c r="S368">
        <f t="shared" si="50"/>
        <v>945</v>
      </c>
      <c r="T368">
        <f t="shared" si="51"/>
        <v>625</v>
      </c>
      <c r="U368">
        <f t="shared" si="52"/>
        <v>320</v>
      </c>
      <c r="V368" s="8">
        <f t="shared" si="53"/>
        <v>0.33862433862433861</v>
      </c>
    </row>
    <row r="369" spans="1:22" x14ac:dyDescent="0.3">
      <c r="A369" t="s">
        <v>380</v>
      </c>
      <c r="B369" s="4">
        <v>45759</v>
      </c>
      <c r="C369" t="s">
        <v>588</v>
      </c>
      <c r="D369" t="str">
        <f t="shared" si="45"/>
        <v>Liam Miller</v>
      </c>
      <c r="E369" t="s">
        <v>625</v>
      </c>
      <c r="F369" t="str">
        <f t="shared" si="46"/>
        <v>United States</v>
      </c>
      <c r="G369" t="s">
        <v>630</v>
      </c>
      <c r="H369" t="s">
        <v>640</v>
      </c>
      <c r="I369">
        <v>3</v>
      </c>
      <c r="J369" s="1">
        <v>78</v>
      </c>
      <c r="K369" s="1">
        <v>45</v>
      </c>
      <c r="L369" s="2">
        <v>0.1</v>
      </c>
      <c r="M369" t="s">
        <v>646</v>
      </c>
      <c r="N369" t="str">
        <f t="shared" si="47"/>
        <v>Debit Card</v>
      </c>
      <c r="O369" t="s">
        <v>648</v>
      </c>
      <c r="P369" t="str">
        <f t="shared" si="48"/>
        <v>Completed</v>
      </c>
      <c r="Q369" t="str">
        <f t="shared" si="49"/>
        <v>Valid</v>
      </c>
      <c r="R369" t="s">
        <v>656</v>
      </c>
      <c r="S369">
        <f t="shared" si="50"/>
        <v>210.6</v>
      </c>
      <c r="T369">
        <f t="shared" si="51"/>
        <v>135</v>
      </c>
      <c r="U369">
        <f t="shared" si="52"/>
        <v>75.599999999999994</v>
      </c>
      <c r="V369" s="8">
        <f t="shared" si="53"/>
        <v>0.35897435897435898</v>
      </c>
    </row>
    <row r="370" spans="1:22" x14ac:dyDescent="0.3">
      <c r="A370" t="s">
        <v>381</v>
      </c>
      <c r="B370" s="4">
        <v>45668</v>
      </c>
      <c r="C370" t="s">
        <v>586</v>
      </c>
      <c r="D370" t="str">
        <f t="shared" si="45"/>
        <v>Ella Martin</v>
      </c>
      <c r="E370" t="s">
        <v>614</v>
      </c>
      <c r="F370" t="str">
        <f t="shared" si="46"/>
        <v>Australia</v>
      </c>
      <c r="G370" t="s">
        <v>635</v>
      </c>
      <c r="H370" t="s">
        <v>639</v>
      </c>
      <c r="I370">
        <v>5</v>
      </c>
      <c r="J370" s="1">
        <v>65</v>
      </c>
      <c r="K370" s="1">
        <v>31</v>
      </c>
      <c r="L370" s="2">
        <v>0.15</v>
      </c>
      <c r="M370" t="s">
        <v>645</v>
      </c>
      <c r="N370" t="str">
        <f t="shared" si="47"/>
        <v>Bank Transfer</v>
      </c>
      <c r="O370" t="s">
        <v>651</v>
      </c>
      <c r="P370" t="str">
        <f t="shared" si="48"/>
        <v>Shipped</v>
      </c>
      <c r="Q370" t="str">
        <f t="shared" si="49"/>
        <v>Valid</v>
      </c>
      <c r="R370" t="s">
        <v>671</v>
      </c>
      <c r="S370">
        <f t="shared" si="50"/>
        <v>276.25</v>
      </c>
      <c r="T370">
        <f t="shared" si="51"/>
        <v>155</v>
      </c>
      <c r="U370">
        <f t="shared" si="52"/>
        <v>121.25</v>
      </c>
      <c r="V370" s="8">
        <f t="shared" si="53"/>
        <v>0.43891402714932126</v>
      </c>
    </row>
    <row r="371" spans="1:22" x14ac:dyDescent="0.3">
      <c r="A371" t="s">
        <v>382</v>
      </c>
      <c r="B371" s="4">
        <v>45989</v>
      </c>
      <c r="C371" t="s">
        <v>584</v>
      </c>
      <c r="D371" t="str">
        <f t="shared" si="45"/>
        <v>James Thompson</v>
      </c>
      <c r="E371" t="s">
        <v>616</v>
      </c>
      <c r="F371" t="str">
        <f t="shared" si="46"/>
        <v>United Kingdom</v>
      </c>
      <c r="G371" t="s">
        <v>627</v>
      </c>
      <c r="H371" t="s">
        <v>639</v>
      </c>
      <c r="I371">
        <v>3</v>
      </c>
      <c r="J371" s="1">
        <v>38</v>
      </c>
      <c r="K371" s="1">
        <v>17</v>
      </c>
      <c r="L371" s="2">
        <v>0.05</v>
      </c>
      <c r="M371" t="s">
        <v>642</v>
      </c>
      <c r="N371" t="s">
        <v>644</v>
      </c>
      <c r="O371" t="s">
        <v>651</v>
      </c>
      <c r="P371" t="str">
        <f t="shared" si="48"/>
        <v>Shipped</v>
      </c>
      <c r="Q371" t="str">
        <f t="shared" si="49"/>
        <v>Valid</v>
      </c>
      <c r="R371" t="s">
        <v>675</v>
      </c>
      <c r="S371">
        <f t="shared" si="50"/>
        <v>108.3</v>
      </c>
      <c r="T371">
        <f t="shared" si="51"/>
        <v>51</v>
      </c>
      <c r="U371">
        <f t="shared" si="52"/>
        <v>57.3</v>
      </c>
      <c r="V371" s="8">
        <f t="shared" si="53"/>
        <v>0.52908587257617723</v>
      </c>
    </row>
    <row r="372" spans="1:22" x14ac:dyDescent="0.3">
      <c r="A372" t="s">
        <v>383</v>
      </c>
      <c r="B372" s="4">
        <v>46012</v>
      </c>
      <c r="C372" t="s">
        <v>577</v>
      </c>
      <c r="D372" t="str">
        <f t="shared" si="45"/>
        <v>Emma Wilson</v>
      </c>
      <c r="E372" t="s">
        <v>599</v>
      </c>
      <c r="F372" t="str">
        <f t="shared" si="46"/>
        <v>United Arab Emirates</v>
      </c>
      <c r="G372" t="s">
        <v>631</v>
      </c>
      <c r="H372" t="s">
        <v>641</v>
      </c>
      <c r="I372">
        <v>5</v>
      </c>
      <c r="J372" s="1">
        <v>85</v>
      </c>
      <c r="K372" s="1">
        <v>44</v>
      </c>
      <c r="L372" s="2">
        <v>0</v>
      </c>
      <c r="M372" t="s">
        <v>645</v>
      </c>
      <c r="N372" t="str">
        <f t="shared" si="47"/>
        <v>Bank Transfer</v>
      </c>
      <c r="O372" t="s">
        <v>648</v>
      </c>
      <c r="P372" t="str">
        <f t="shared" si="48"/>
        <v>Completed</v>
      </c>
      <c r="Q372" t="str">
        <f t="shared" si="49"/>
        <v>Valid</v>
      </c>
      <c r="R372" t="s">
        <v>670</v>
      </c>
      <c r="S372">
        <f t="shared" si="50"/>
        <v>425</v>
      </c>
      <c r="T372">
        <f t="shared" si="51"/>
        <v>220</v>
      </c>
      <c r="U372">
        <f t="shared" si="52"/>
        <v>205</v>
      </c>
      <c r="V372" s="8">
        <f t="shared" si="53"/>
        <v>0.4823529411764706</v>
      </c>
    </row>
    <row r="373" spans="1:22" x14ac:dyDescent="0.3">
      <c r="A373" t="s">
        <v>384</v>
      </c>
      <c r="B373" s="4">
        <v>45858</v>
      </c>
      <c r="C373" t="s">
        <v>563</v>
      </c>
      <c r="D373" t="str">
        <f t="shared" si="45"/>
        <v>Liam Miller</v>
      </c>
      <c r="E373" t="s">
        <v>617</v>
      </c>
      <c r="F373" t="str">
        <f t="shared" si="46"/>
        <v>Germany</v>
      </c>
      <c r="G373" t="s">
        <v>635</v>
      </c>
      <c r="H373" t="s">
        <v>639</v>
      </c>
      <c r="I373">
        <v>5</v>
      </c>
      <c r="J373" s="1">
        <v>65</v>
      </c>
      <c r="K373" s="1">
        <v>31</v>
      </c>
      <c r="L373" s="2">
        <v>0</v>
      </c>
      <c r="M373" t="s">
        <v>647</v>
      </c>
      <c r="N373" t="str">
        <f t="shared" si="47"/>
        <v>Credit Card</v>
      </c>
      <c r="O373" t="s">
        <v>650</v>
      </c>
      <c r="P373" t="str">
        <f t="shared" si="48"/>
        <v>Cancelled</v>
      </c>
      <c r="Q373" t="str">
        <f t="shared" si="49"/>
        <v>Valid</v>
      </c>
      <c r="R373" t="s">
        <v>656</v>
      </c>
      <c r="S373">
        <f t="shared" si="50"/>
        <v>325</v>
      </c>
      <c r="T373">
        <f t="shared" si="51"/>
        <v>155</v>
      </c>
      <c r="U373">
        <f t="shared" si="52"/>
        <v>170</v>
      </c>
      <c r="V373" s="8">
        <f t="shared" si="53"/>
        <v>0.52307692307692311</v>
      </c>
    </row>
    <row r="374" spans="1:22" x14ac:dyDescent="0.3">
      <c r="A374" t="s">
        <v>385</v>
      </c>
      <c r="B374" s="4">
        <v>45739</v>
      </c>
      <c r="C374" t="s">
        <v>582</v>
      </c>
      <c r="D374" t="str">
        <f t="shared" si="45"/>
        <v>Alex Morgan</v>
      </c>
      <c r="E374" t="s">
        <v>618</v>
      </c>
      <c r="F374" t="str">
        <f t="shared" si="46"/>
        <v>United Kingdom</v>
      </c>
      <c r="G374" t="s">
        <v>627</v>
      </c>
      <c r="H374" t="s">
        <v>639</v>
      </c>
      <c r="I374">
        <v>2</v>
      </c>
      <c r="J374" s="1">
        <v>38</v>
      </c>
      <c r="K374" s="1">
        <v>17</v>
      </c>
      <c r="L374" s="2">
        <v>0</v>
      </c>
      <c r="M374" t="s">
        <v>645</v>
      </c>
      <c r="N374" t="str">
        <f t="shared" si="47"/>
        <v>Bank Transfer</v>
      </c>
      <c r="O374" t="s">
        <v>650</v>
      </c>
      <c r="P374" t="str">
        <f t="shared" si="48"/>
        <v>Cancelled</v>
      </c>
      <c r="Q374" t="str">
        <f t="shared" si="49"/>
        <v>Valid</v>
      </c>
      <c r="R374" t="s">
        <v>658</v>
      </c>
      <c r="S374">
        <f t="shared" si="50"/>
        <v>76</v>
      </c>
      <c r="T374">
        <f t="shared" si="51"/>
        <v>34</v>
      </c>
      <c r="U374">
        <f t="shared" si="52"/>
        <v>42</v>
      </c>
      <c r="V374" s="8">
        <f t="shared" si="53"/>
        <v>0.55263157894736847</v>
      </c>
    </row>
    <row r="375" spans="1:22" x14ac:dyDescent="0.3">
      <c r="A375" t="s">
        <v>386</v>
      </c>
      <c r="B375" s="4">
        <v>45976</v>
      </c>
      <c r="C375" t="s">
        <v>567</v>
      </c>
      <c r="D375" t="str">
        <f t="shared" si="45"/>
        <v>Sophia Taylor</v>
      </c>
      <c r="E375" t="s">
        <v>607</v>
      </c>
      <c r="F375" t="str">
        <f t="shared" si="46"/>
        <v>Germany</v>
      </c>
      <c r="G375" t="s">
        <v>630</v>
      </c>
      <c r="H375" t="s">
        <v>640</v>
      </c>
      <c r="I375">
        <v>5</v>
      </c>
      <c r="J375" s="1">
        <v>78</v>
      </c>
      <c r="K375" s="1">
        <v>45</v>
      </c>
      <c r="L375" s="2">
        <v>0</v>
      </c>
      <c r="M375" t="s">
        <v>645</v>
      </c>
      <c r="N375" t="str">
        <f t="shared" si="47"/>
        <v>Bank Transfer</v>
      </c>
      <c r="O375" t="s">
        <v>649</v>
      </c>
      <c r="P375" t="str">
        <f t="shared" si="48"/>
        <v>Pending</v>
      </c>
      <c r="Q375" t="str">
        <f t="shared" si="49"/>
        <v>Valid</v>
      </c>
      <c r="R375" t="s">
        <v>660</v>
      </c>
      <c r="S375">
        <f t="shared" si="50"/>
        <v>390</v>
      </c>
      <c r="T375">
        <f t="shared" si="51"/>
        <v>225</v>
      </c>
      <c r="U375">
        <f t="shared" si="52"/>
        <v>165</v>
      </c>
      <c r="V375" s="8">
        <f t="shared" si="53"/>
        <v>0.42307692307692307</v>
      </c>
    </row>
    <row r="376" spans="1:22" x14ac:dyDescent="0.3">
      <c r="A376" t="s">
        <v>387</v>
      </c>
      <c r="B376" s="4">
        <v>45758</v>
      </c>
      <c r="C376" t="s">
        <v>591</v>
      </c>
      <c r="D376" t="str">
        <f t="shared" si="45"/>
        <v>James Thompson</v>
      </c>
      <c r="E376" t="s">
        <v>602</v>
      </c>
      <c r="F376" t="str">
        <f t="shared" si="46"/>
        <v>Australia</v>
      </c>
      <c r="G376" t="s">
        <v>637</v>
      </c>
      <c r="H376" t="s">
        <v>641</v>
      </c>
      <c r="I376">
        <v>1</v>
      </c>
      <c r="J376" s="1">
        <v>175</v>
      </c>
      <c r="K376" s="1">
        <v>105</v>
      </c>
      <c r="L376" s="2">
        <v>0</v>
      </c>
      <c r="M376" t="s">
        <v>642</v>
      </c>
      <c r="N376" t="s">
        <v>644</v>
      </c>
      <c r="O376" t="s">
        <v>648</v>
      </c>
      <c r="P376" t="str">
        <f t="shared" si="48"/>
        <v>Completed</v>
      </c>
      <c r="Q376" t="str">
        <f t="shared" si="49"/>
        <v>Valid</v>
      </c>
      <c r="R376" t="s">
        <v>675</v>
      </c>
      <c r="S376">
        <f t="shared" si="50"/>
        <v>175</v>
      </c>
      <c r="T376">
        <f t="shared" si="51"/>
        <v>105</v>
      </c>
      <c r="U376">
        <f t="shared" si="52"/>
        <v>70</v>
      </c>
      <c r="V376" s="8">
        <f t="shared" si="53"/>
        <v>0.4</v>
      </c>
    </row>
    <row r="377" spans="1:22" x14ac:dyDescent="0.3">
      <c r="A377" t="s">
        <v>388</v>
      </c>
      <c r="B377" s="4">
        <v>46001</v>
      </c>
      <c r="C377" t="s">
        <v>583</v>
      </c>
      <c r="D377" t="str">
        <f t="shared" si="45"/>
        <v>Ethan Anderson</v>
      </c>
      <c r="E377" t="s">
        <v>621</v>
      </c>
      <c r="F377" t="str">
        <f t="shared" si="46"/>
        <v>Canada</v>
      </c>
      <c r="G377" t="s">
        <v>633</v>
      </c>
      <c r="H377" t="s">
        <v>638</v>
      </c>
      <c r="I377">
        <v>4</v>
      </c>
      <c r="J377" s="1">
        <v>210</v>
      </c>
      <c r="K377" s="1">
        <v>125</v>
      </c>
      <c r="L377" s="2">
        <v>0.15</v>
      </c>
      <c r="M377" t="s">
        <v>647</v>
      </c>
      <c r="N377" t="str">
        <f t="shared" si="47"/>
        <v>Credit Card</v>
      </c>
      <c r="O377" t="s">
        <v>648</v>
      </c>
      <c r="P377" t="str">
        <f t="shared" si="48"/>
        <v>Completed</v>
      </c>
      <c r="Q377" t="str">
        <f t="shared" si="49"/>
        <v>Valid</v>
      </c>
      <c r="R377" t="s">
        <v>673</v>
      </c>
      <c r="S377">
        <f t="shared" si="50"/>
        <v>714</v>
      </c>
      <c r="T377">
        <f t="shared" si="51"/>
        <v>500</v>
      </c>
      <c r="U377">
        <f t="shared" si="52"/>
        <v>214</v>
      </c>
      <c r="V377" s="8">
        <f t="shared" si="53"/>
        <v>0.29971988795518206</v>
      </c>
    </row>
    <row r="378" spans="1:22" x14ac:dyDescent="0.3">
      <c r="A378" t="s">
        <v>389</v>
      </c>
      <c r="B378" s="4">
        <v>45794</v>
      </c>
      <c r="C378" t="s">
        <v>576</v>
      </c>
      <c r="D378" t="str">
        <f t="shared" si="45"/>
        <v>Chloe Lewis</v>
      </c>
      <c r="E378" t="s">
        <v>611</v>
      </c>
      <c r="F378" t="str">
        <f t="shared" si="46"/>
        <v>United States</v>
      </c>
      <c r="G378" t="s">
        <v>636</v>
      </c>
      <c r="H378" t="s">
        <v>641</v>
      </c>
      <c r="I378">
        <v>4</v>
      </c>
      <c r="J378" s="1">
        <v>245</v>
      </c>
      <c r="K378" s="1">
        <v>150</v>
      </c>
      <c r="L378" s="2">
        <v>0</v>
      </c>
      <c r="M378" t="s">
        <v>642</v>
      </c>
      <c r="N378" t="s">
        <v>644</v>
      </c>
      <c r="O378" t="s">
        <v>651</v>
      </c>
      <c r="P378" t="str">
        <f t="shared" si="48"/>
        <v>Shipped</v>
      </c>
      <c r="Q378" t="str">
        <f t="shared" si="49"/>
        <v>Valid</v>
      </c>
      <c r="R378" t="s">
        <v>669</v>
      </c>
      <c r="S378">
        <f t="shared" si="50"/>
        <v>980</v>
      </c>
      <c r="T378">
        <f t="shared" si="51"/>
        <v>600</v>
      </c>
      <c r="U378">
        <f t="shared" si="52"/>
        <v>380</v>
      </c>
      <c r="V378" s="8">
        <f t="shared" si="53"/>
        <v>0.38775510204081631</v>
      </c>
    </row>
    <row r="379" spans="1:22" x14ac:dyDescent="0.3">
      <c r="A379" t="s">
        <v>390</v>
      </c>
      <c r="B379" s="4">
        <v>45717</v>
      </c>
      <c r="C379" t="s">
        <v>576</v>
      </c>
      <c r="D379" t="str">
        <f t="shared" si="45"/>
        <v>Chloe Lewis</v>
      </c>
      <c r="E379" t="s">
        <v>601</v>
      </c>
      <c r="F379" t="str">
        <f t="shared" si="46"/>
        <v>United Kingdom</v>
      </c>
      <c r="G379" t="s">
        <v>629</v>
      </c>
      <c r="H379" t="s">
        <v>640</v>
      </c>
      <c r="I379">
        <v>2</v>
      </c>
      <c r="J379" s="1">
        <v>92</v>
      </c>
      <c r="K379" s="1">
        <v>53</v>
      </c>
      <c r="L379" s="2">
        <v>0</v>
      </c>
      <c r="M379" t="s">
        <v>644</v>
      </c>
      <c r="N379" t="s">
        <v>644</v>
      </c>
      <c r="O379" t="s">
        <v>648</v>
      </c>
      <c r="P379" t="str">
        <f t="shared" si="48"/>
        <v>Completed</v>
      </c>
      <c r="Q379" t="str">
        <f t="shared" si="49"/>
        <v>Valid</v>
      </c>
      <c r="R379" t="s">
        <v>669</v>
      </c>
      <c r="S379">
        <f t="shared" si="50"/>
        <v>184</v>
      </c>
      <c r="T379">
        <f t="shared" si="51"/>
        <v>106</v>
      </c>
      <c r="U379">
        <f t="shared" si="52"/>
        <v>78</v>
      </c>
      <c r="V379" s="8">
        <f t="shared" si="53"/>
        <v>0.42391304347826086</v>
      </c>
    </row>
    <row r="380" spans="1:22" x14ac:dyDescent="0.3">
      <c r="A380" t="s">
        <v>391</v>
      </c>
      <c r="B380" s="4">
        <v>45660</v>
      </c>
      <c r="C380" t="s">
        <v>578</v>
      </c>
      <c r="D380" t="str">
        <f t="shared" si="45"/>
        <v>Ella Martin</v>
      </c>
      <c r="E380" t="s">
        <v>609</v>
      </c>
      <c r="F380" t="str">
        <f t="shared" si="46"/>
        <v>Singapore</v>
      </c>
      <c r="G380" t="s">
        <v>629</v>
      </c>
      <c r="H380" t="s">
        <v>640</v>
      </c>
      <c r="I380">
        <v>4</v>
      </c>
      <c r="J380" s="1">
        <v>92</v>
      </c>
      <c r="K380" s="1">
        <v>53</v>
      </c>
      <c r="L380" s="2">
        <v>0</v>
      </c>
      <c r="M380" t="s">
        <v>643</v>
      </c>
      <c r="N380" t="str">
        <f t="shared" si="47"/>
        <v>Credit Card</v>
      </c>
      <c r="O380" t="s">
        <v>649</v>
      </c>
      <c r="P380" t="str">
        <f t="shared" si="48"/>
        <v>Pending</v>
      </c>
      <c r="Q380" t="str">
        <f t="shared" si="49"/>
        <v>Valid</v>
      </c>
      <c r="R380" t="s">
        <v>671</v>
      </c>
      <c r="S380">
        <f t="shared" si="50"/>
        <v>368</v>
      </c>
      <c r="T380">
        <f t="shared" si="51"/>
        <v>212</v>
      </c>
      <c r="U380">
        <f t="shared" si="52"/>
        <v>156</v>
      </c>
      <c r="V380" s="8">
        <f t="shared" si="53"/>
        <v>0.42391304347826086</v>
      </c>
    </row>
    <row r="381" spans="1:22" x14ac:dyDescent="0.3">
      <c r="A381" t="s">
        <v>392</v>
      </c>
      <c r="B381" s="4">
        <v>45848</v>
      </c>
      <c r="C381" t="s">
        <v>569</v>
      </c>
      <c r="D381" t="str">
        <f t="shared" si="45"/>
        <v>Mia White</v>
      </c>
      <c r="E381" t="s">
        <v>602</v>
      </c>
      <c r="F381" t="str">
        <f t="shared" si="46"/>
        <v>Australia</v>
      </c>
      <c r="G381" t="s">
        <v>636</v>
      </c>
      <c r="H381" t="s">
        <v>641</v>
      </c>
      <c r="I381">
        <v>2</v>
      </c>
      <c r="J381" s="1">
        <v>245</v>
      </c>
      <c r="K381" s="1">
        <v>150</v>
      </c>
      <c r="L381" s="2">
        <v>0.05</v>
      </c>
      <c r="M381" t="s">
        <v>644</v>
      </c>
      <c r="N381" t="s">
        <v>644</v>
      </c>
      <c r="O381" t="s">
        <v>648</v>
      </c>
      <c r="P381" t="str">
        <f t="shared" si="48"/>
        <v>Completed</v>
      </c>
      <c r="Q381" t="str">
        <f t="shared" si="49"/>
        <v>Valid</v>
      </c>
      <c r="R381" t="s">
        <v>662</v>
      </c>
      <c r="S381">
        <f t="shared" si="50"/>
        <v>465.5</v>
      </c>
      <c r="T381">
        <f t="shared" si="51"/>
        <v>300</v>
      </c>
      <c r="U381">
        <f t="shared" si="52"/>
        <v>165.5</v>
      </c>
      <c r="V381" s="8">
        <f t="shared" si="53"/>
        <v>0.35553168635875404</v>
      </c>
    </row>
    <row r="382" spans="1:22" x14ac:dyDescent="0.3">
      <c r="A382" t="s">
        <v>393</v>
      </c>
      <c r="B382" s="4">
        <v>45828</v>
      </c>
      <c r="C382" t="s">
        <v>567</v>
      </c>
      <c r="D382" t="str">
        <f t="shared" si="45"/>
        <v>Sophia Taylor</v>
      </c>
      <c r="E382" t="s">
        <v>604</v>
      </c>
      <c r="F382" t="str">
        <f t="shared" si="46"/>
        <v>United States</v>
      </c>
      <c r="G382" t="s">
        <v>627</v>
      </c>
      <c r="H382" t="s">
        <v>639</v>
      </c>
      <c r="I382">
        <v>4</v>
      </c>
      <c r="J382" s="1">
        <v>38</v>
      </c>
      <c r="K382" s="1">
        <v>17</v>
      </c>
      <c r="L382" s="2">
        <v>0.05</v>
      </c>
      <c r="M382" t="s">
        <v>643</v>
      </c>
      <c r="N382" t="str">
        <f t="shared" si="47"/>
        <v>Credit Card</v>
      </c>
      <c r="O382" t="s">
        <v>650</v>
      </c>
      <c r="P382" t="str">
        <f t="shared" si="48"/>
        <v>Cancelled</v>
      </c>
      <c r="Q382" t="str">
        <f t="shared" si="49"/>
        <v>Invalid</v>
      </c>
      <c r="R382" t="s">
        <v>683</v>
      </c>
      <c r="S382">
        <f t="shared" si="50"/>
        <v>144.4</v>
      </c>
      <c r="T382">
        <f t="shared" si="51"/>
        <v>68</v>
      </c>
      <c r="U382">
        <f t="shared" si="52"/>
        <v>76.400000000000006</v>
      </c>
      <c r="V382" s="8">
        <f t="shared" si="53"/>
        <v>0.52908587257617734</v>
      </c>
    </row>
    <row r="383" spans="1:22" x14ac:dyDescent="0.3">
      <c r="A383" t="s">
        <v>394</v>
      </c>
      <c r="B383" s="4">
        <v>45909</v>
      </c>
      <c r="C383" t="s">
        <v>582</v>
      </c>
      <c r="D383" t="str">
        <f t="shared" si="45"/>
        <v>Alex Morgan</v>
      </c>
      <c r="E383" t="s">
        <v>614</v>
      </c>
      <c r="F383" t="str">
        <f t="shared" si="46"/>
        <v>Australia</v>
      </c>
      <c r="G383" t="s">
        <v>626</v>
      </c>
      <c r="H383" t="s">
        <v>638</v>
      </c>
      <c r="I383">
        <v>5</v>
      </c>
      <c r="J383" s="1">
        <v>36</v>
      </c>
      <c r="K383" s="1">
        <v>16</v>
      </c>
      <c r="L383" s="2">
        <v>0.1</v>
      </c>
      <c r="M383" t="s">
        <v>645</v>
      </c>
      <c r="N383" t="str">
        <f t="shared" si="47"/>
        <v>Bank Transfer</v>
      </c>
      <c r="O383" t="s">
        <v>648</v>
      </c>
      <c r="P383" t="str">
        <f t="shared" si="48"/>
        <v>Completed</v>
      </c>
      <c r="Q383" t="str">
        <f t="shared" si="49"/>
        <v>Valid</v>
      </c>
      <c r="R383" t="s">
        <v>658</v>
      </c>
      <c r="S383">
        <f t="shared" si="50"/>
        <v>162</v>
      </c>
      <c r="T383">
        <f t="shared" si="51"/>
        <v>80</v>
      </c>
      <c r="U383">
        <f t="shared" si="52"/>
        <v>82</v>
      </c>
      <c r="V383" s="8">
        <f t="shared" si="53"/>
        <v>0.50617283950617287</v>
      </c>
    </row>
    <row r="384" spans="1:22" x14ac:dyDescent="0.3">
      <c r="A384" t="s">
        <v>395</v>
      </c>
      <c r="B384" s="4">
        <v>45794</v>
      </c>
      <c r="C384" t="s">
        <v>564</v>
      </c>
      <c r="D384" t="str">
        <f t="shared" si="45"/>
        <v>Ava Thomas</v>
      </c>
      <c r="E384" t="s">
        <v>609</v>
      </c>
      <c r="F384" t="str">
        <f t="shared" si="46"/>
        <v>Singapore</v>
      </c>
      <c r="G384" t="s">
        <v>637</v>
      </c>
      <c r="H384" t="s">
        <v>641</v>
      </c>
      <c r="I384">
        <v>3</v>
      </c>
      <c r="J384" s="1">
        <v>175</v>
      </c>
      <c r="K384" s="1">
        <v>105</v>
      </c>
      <c r="L384" s="2">
        <v>0</v>
      </c>
      <c r="M384" t="s">
        <v>642</v>
      </c>
      <c r="N384" t="s">
        <v>644</v>
      </c>
      <c r="O384" t="s">
        <v>648</v>
      </c>
      <c r="P384" t="str">
        <f t="shared" si="48"/>
        <v>Completed</v>
      </c>
      <c r="Q384" t="str">
        <f t="shared" si="49"/>
        <v>Valid</v>
      </c>
      <c r="R384" t="s">
        <v>657</v>
      </c>
      <c r="S384">
        <f t="shared" si="50"/>
        <v>525</v>
      </c>
      <c r="T384">
        <f t="shared" si="51"/>
        <v>315</v>
      </c>
      <c r="U384">
        <f t="shared" si="52"/>
        <v>210</v>
      </c>
      <c r="V384" s="8">
        <f t="shared" si="53"/>
        <v>0.4</v>
      </c>
    </row>
    <row r="385" spans="1:22" x14ac:dyDescent="0.3">
      <c r="A385" t="s">
        <v>396</v>
      </c>
      <c r="B385" s="4">
        <v>45697</v>
      </c>
      <c r="C385" t="s">
        <v>584</v>
      </c>
      <c r="D385" t="str">
        <f t="shared" si="45"/>
        <v>James Thompson</v>
      </c>
      <c r="E385" t="s">
        <v>620</v>
      </c>
      <c r="F385" t="str">
        <f t="shared" si="46"/>
        <v>India</v>
      </c>
      <c r="G385" t="s">
        <v>626</v>
      </c>
      <c r="H385" t="s">
        <v>638</v>
      </c>
      <c r="I385">
        <v>5</v>
      </c>
      <c r="J385" s="1">
        <v>36</v>
      </c>
      <c r="K385" s="1">
        <v>16</v>
      </c>
      <c r="L385" s="2">
        <v>0.15</v>
      </c>
      <c r="M385" t="s">
        <v>642</v>
      </c>
      <c r="N385" t="s">
        <v>644</v>
      </c>
      <c r="O385" t="s">
        <v>650</v>
      </c>
      <c r="P385" t="str">
        <f t="shared" si="48"/>
        <v>Cancelled</v>
      </c>
      <c r="Q385" t="str">
        <f t="shared" si="49"/>
        <v>Valid</v>
      </c>
      <c r="R385" t="s">
        <v>675</v>
      </c>
      <c r="S385">
        <f t="shared" si="50"/>
        <v>153</v>
      </c>
      <c r="T385">
        <f t="shared" si="51"/>
        <v>80</v>
      </c>
      <c r="U385">
        <f t="shared" si="52"/>
        <v>73</v>
      </c>
      <c r="V385" s="8">
        <f t="shared" si="53"/>
        <v>0.47712418300653597</v>
      </c>
    </row>
    <row r="386" spans="1:22" x14ac:dyDescent="0.3">
      <c r="A386" t="s">
        <v>397</v>
      </c>
      <c r="B386" s="4">
        <v>45946</v>
      </c>
      <c r="C386" t="s">
        <v>571</v>
      </c>
      <c r="D386" t="str">
        <f t="shared" si="45"/>
        <v>Henry Clark</v>
      </c>
      <c r="E386" t="s">
        <v>624</v>
      </c>
      <c r="F386" t="str">
        <f t="shared" si="46"/>
        <v>United Arab Emirates</v>
      </c>
      <c r="G386" t="s">
        <v>632</v>
      </c>
      <c r="H386" t="s">
        <v>639</v>
      </c>
      <c r="I386">
        <v>5</v>
      </c>
      <c r="J386" s="1">
        <v>42</v>
      </c>
      <c r="K386" s="1">
        <v>21</v>
      </c>
      <c r="L386" s="2">
        <v>0</v>
      </c>
      <c r="M386" t="s">
        <v>646</v>
      </c>
      <c r="N386" t="str">
        <f t="shared" si="47"/>
        <v>Debit Card</v>
      </c>
      <c r="O386" t="s">
        <v>650</v>
      </c>
      <c r="P386" t="str">
        <f t="shared" si="48"/>
        <v>Cancelled</v>
      </c>
      <c r="Q386" t="str">
        <f t="shared" si="49"/>
        <v>Valid</v>
      </c>
      <c r="R386" t="s">
        <v>664</v>
      </c>
      <c r="S386">
        <f t="shared" si="50"/>
        <v>210</v>
      </c>
      <c r="T386">
        <f t="shared" si="51"/>
        <v>105</v>
      </c>
      <c r="U386">
        <f t="shared" si="52"/>
        <v>105</v>
      </c>
      <c r="V386" s="8">
        <f t="shared" si="53"/>
        <v>0.5</v>
      </c>
    </row>
    <row r="387" spans="1:22" x14ac:dyDescent="0.3">
      <c r="A387" t="s">
        <v>398</v>
      </c>
      <c r="B387" s="4">
        <v>45745</v>
      </c>
      <c r="C387" t="s">
        <v>580</v>
      </c>
      <c r="D387" t="str">
        <f t="shared" ref="D387:D450" si="54">PROPER(TRIM(C387))</f>
        <v>Benjamin Walker</v>
      </c>
      <c r="E387" t="s">
        <v>611</v>
      </c>
      <c r="F387" t="str">
        <f t="shared" ref="F387:F450" si="55">IF(OR(UPPER(TRIM(E387))="AUS",UPPER(TRIM(E387))="AUSTRALIA"),"Australia",IF(OR(UPPER(TRIM(E387))="CAN",UPPER(TRIM(E387))="CANADA"),"Canada",IF(OR(UPPER(TRIM(E387))="DE",UPPER(TRIM(E387))="GERMANY"),"Germany",IF(OR(UPPER(TRIM(E387))="IN",UPPER(TRIM(E387))="INDIA"),"India",IF(OR(UPPER(TRIM(E387))="US",UPPER(TRIM(E387))="USA",UPPER(TRIM(E387))="UNITED STATES"),"United States",IF(OR(UPPER(TRIM(E387))="UK",UPPER(TRIM(E387))="U.K.",UPPER(TRIM(E387))="UNITED KINGDOM"),"United Kingdom",IF(OR(UPPER(TRIM(E387))="UAE",UPPER(TRIM(E387))="U.A.E.",UPPER(TRIM(E387))="UNITED ARAB EMIRATES"),"United Arab Emirates",IF(OR(UPPER(TRIM(E387))="SG",UPPER(TRIM(E387))="SINGAPORE"),"Singapore",TRIM(E387)))))))))</f>
        <v>United States</v>
      </c>
      <c r="G387" t="s">
        <v>628</v>
      </c>
      <c r="H387" t="s">
        <v>639</v>
      </c>
      <c r="I387">
        <v>1</v>
      </c>
      <c r="J387" s="1">
        <v>18</v>
      </c>
      <c r="K387" s="1">
        <v>7</v>
      </c>
      <c r="L387" s="2">
        <v>0</v>
      </c>
      <c r="M387" t="s">
        <v>645</v>
      </c>
      <c r="N387" t="str">
        <f t="shared" ref="N387:N450" si="56">PROPER(TRIM(M387))</f>
        <v>Bank Transfer</v>
      </c>
      <c r="O387" t="s">
        <v>648</v>
      </c>
      <c r="P387" t="str">
        <f t="shared" ref="P387:P450" si="57">PROPER(TRIM(O387))</f>
        <v>Completed</v>
      </c>
      <c r="Q387" t="str">
        <f t="shared" ref="Q387:Q450" si="58">IF(TRIM(R387)="","Missing",IF(AND(ISNUMBER(SEARCH("@",R387)),ISNUMBER(SEARCH(".",R387,SEARCH("@",R387)+2))),"Valid","Invalid"))</f>
        <v>Valid</v>
      </c>
      <c r="R387" t="s">
        <v>672</v>
      </c>
      <c r="S387">
        <f t="shared" ref="S387:S450" si="59">I387*J387*(1-L387)</f>
        <v>18</v>
      </c>
      <c r="T387">
        <f t="shared" ref="T387:T450" si="60">I387*K387</f>
        <v>7</v>
      </c>
      <c r="U387">
        <f t="shared" ref="U387:U450" si="61">S387-T387</f>
        <v>11</v>
      </c>
      <c r="V387" s="8">
        <f t="shared" ref="V387:V450" si="62">IF(S387=0,0,U387/S387)</f>
        <v>0.61111111111111116</v>
      </c>
    </row>
    <row r="388" spans="1:22" x14ac:dyDescent="0.3">
      <c r="A388" t="s">
        <v>399</v>
      </c>
      <c r="B388" s="4">
        <v>46009</v>
      </c>
      <c r="C388" t="s">
        <v>568</v>
      </c>
      <c r="D388" t="str">
        <f t="shared" si="54"/>
        <v>Daniel Harris</v>
      </c>
      <c r="E388" t="s">
        <v>611</v>
      </c>
      <c r="F388" t="str">
        <f t="shared" si="55"/>
        <v>United States</v>
      </c>
      <c r="G388" t="s">
        <v>629</v>
      </c>
      <c r="H388" t="s">
        <v>640</v>
      </c>
      <c r="I388">
        <v>1</v>
      </c>
      <c r="J388" s="1">
        <v>92</v>
      </c>
      <c r="K388" s="1">
        <v>53</v>
      </c>
      <c r="L388" s="2">
        <v>0</v>
      </c>
      <c r="M388" t="s">
        <v>643</v>
      </c>
      <c r="N388" t="str">
        <f t="shared" si="56"/>
        <v>Credit Card</v>
      </c>
      <c r="O388" t="s">
        <v>649</v>
      </c>
      <c r="P388" t="str">
        <f t="shared" si="57"/>
        <v>Pending</v>
      </c>
      <c r="Q388" t="str">
        <f t="shared" si="58"/>
        <v>Valid</v>
      </c>
      <c r="R388" t="s">
        <v>666</v>
      </c>
      <c r="S388">
        <f t="shared" si="59"/>
        <v>92</v>
      </c>
      <c r="T388">
        <f t="shared" si="60"/>
        <v>53</v>
      </c>
      <c r="U388">
        <f t="shared" si="61"/>
        <v>39</v>
      </c>
      <c r="V388" s="8">
        <f t="shared" si="62"/>
        <v>0.42391304347826086</v>
      </c>
    </row>
    <row r="389" spans="1:22" x14ac:dyDescent="0.3">
      <c r="A389" t="s">
        <v>400</v>
      </c>
      <c r="B389" s="4">
        <v>45677</v>
      </c>
      <c r="C389" t="s">
        <v>571</v>
      </c>
      <c r="D389" t="str">
        <f t="shared" si="54"/>
        <v>Henry Clark</v>
      </c>
      <c r="E389" t="s">
        <v>604</v>
      </c>
      <c r="F389" t="str">
        <f t="shared" si="55"/>
        <v>United States</v>
      </c>
      <c r="G389" t="s">
        <v>630</v>
      </c>
      <c r="H389" t="s">
        <v>640</v>
      </c>
      <c r="I389">
        <v>1</v>
      </c>
      <c r="J389" s="1">
        <v>78</v>
      </c>
      <c r="K389" s="1">
        <v>45</v>
      </c>
      <c r="L389" s="2">
        <v>0.05</v>
      </c>
      <c r="M389" t="s">
        <v>642</v>
      </c>
      <c r="N389" t="s">
        <v>644</v>
      </c>
      <c r="O389" t="s">
        <v>649</v>
      </c>
      <c r="P389" t="str">
        <f t="shared" si="57"/>
        <v>Pending</v>
      </c>
      <c r="Q389" t="str">
        <f t="shared" si="58"/>
        <v>Valid</v>
      </c>
      <c r="R389" t="s">
        <v>664</v>
      </c>
      <c r="S389">
        <f t="shared" si="59"/>
        <v>74.099999999999994</v>
      </c>
      <c r="T389">
        <f t="shared" si="60"/>
        <v>45</v>
      </c>
      <c r="U389">
        <f t="shared" si="61"/>
        <v>29.099999999999994</v>
      </c>
      <c r="V389" s="8">
        <f t="shared" si="62"/>
        <v>0.39271255060728738</v>
      </c>
    </row>
    <row r="390" spans="1:22" x14ac:dyDescent="0.3">
      <c r="A390" t="s">
        <v>401</v>
      </c>
      <c r="B390" s="4">
        <v>45844</v>
      </c>
      <c r="C390" t="s">
        <v>576</v>
      </c>
      <c r="D390" t="str">
        <f t="shared" si="54"/>
        <v>Chloe Lewis</v>
      </c>
      <c r="E390" t="s">
        <v>619</v>
      </c>
      <c r="F390" t="str">
        <f t="shared" si="55"/>
        <v>India</v>
      </c>
      <c r="G390" t="s">
        <v>629</v>
      </c>
      <c r="H390" t="s">
        <v>640</v>
      </c>
      <c r="I390">
        <v>4</v>
      </c>
      <c r="J390" s="1">
        <v>92</v>
      </c>
      <c r="K390" s="1">
        <v>53</v>
      </c>
      <c r="L390" s="2">
        <v>0.2</v>
      </c>
      <c r="M390" t="s">
        <v>642</v>
      </c>
      <c r="N390" t="s">
        <v>644</v>
      </c>
      <c r="O390" t="s">
        <v>648</v>
      </c>
      <c r="P390" t="str">
        <f t="shared" si="57"/>
        <v>Completed</v>
      </c>
      <c r="Q390" t="str">
        <f t="shared" si="58"/>
        <v>Valid</v>
      </c>
      <c r="R390" t="s">
        <v>669</v>
      </c>
      <c r="S390">
        <f t="shared" si="59"/>
        <v>294.40000000000003</v>
      </c>
      <c r="T390">
        <f t="shared" si="60"/>
        <v>212</v>
      </c>
      <c r="U390">
        <f t="shared" si="61"/>
        <v>82.400000000000034</v>
      </c>
      <c r="V390" s="8">
        <f t="shared" si="62"/>
        <v>0.27989130434782616</v>
      </c>
    </row>
    <row r="391" spans="1:22" x14ac:dyDescent="0.3">
      <c r="A391" t="s">
        <v>402</v>
      </c>
      <c r="B391" s="4">
        <v>45791</v>
      </c>
      <c r="C391" t="s">
        <v>569</v>
      </c>
      <c r="D391" t="str">
        <f t="shared" si="54"/>
        <v>Mia White</v>
      </c>
      <c r="E391" t="s">
        <v>624</v>
      </c>
      <c r="F391" t="str">
        <f t="shared" si="55"/>
        <v>United Arab Emirates</v>
      </c>
      <c r="G391" t="s">
        <v>630</v>
      </c>
      <c r="H391" t="s">
        <v>640</v>
      </c>
      <c r="I391">
        <v>2</v>
      </c>
      <c r="J391" s="1">
        <v>78</v>
      </c>
      <c r="K391" s="1">
        <v>45</v>
      </c>
      <c r="L391" s="2">
        <v>0.05</v>
      </c>
      <c r="M391" t="s">
        <v>646</v>
      </c>
      <c r="N391" t="str">
        <f t="shared" si="56"/>
        <v>Debit Card</v>
      </c>
      <c r="O391" t="s">
        <v>648</v>
      </c>
      <c r="P391" t="str">
        <f t="shared" si="57"/>
        <v>Completed</v>
      </c>
      <c r="Q391" t="str">
        <f t="shared" si="58"/>
        <v>Valid</v>
      </c>
      <c r="R391" t="s">
        <v>662</v>
      </c>
      <c r="S391">
        <f t="shared" si="59"/>
        <v>148.19999999999999</v>
      </c>
      <c r="T391">
        <f t="shared" si="60"/>
        <v>90</v>
      </c>
      <c r="U391">
        <f t="shared" si="61"/>
        <v>58.199999999999989</v>
      </c>
      <c r="V391" s="8">
        <f t="shared" si="62"/>
        <v>0.39271255060728738</v>
      </c>
    </row>
    <row r="392" spans="1:22" x14ac:dyDescent="0.3">
      <c r="A392" t="s">
        <v>403</v>
      </c>
      <c r="B392" s="4">
        <v>45745</v>
      </c>
      <c r="C392" t="s">
        <v>588</v>
      </c>
      <c r="D392" t="str">
        <f t="shared" si="54"/>
        <v>Liam Miller</v>
      </c>
      <c r="E392" t="s">
        <v>610</v>
      </c>
      <c r="F392" t="str">
        <f t="shared" si="55"/>
        <v>United Arab Emirates</v>
      </c>
      <c r="G392" t="s">
        <v>631</v>
      </c>
      <c r="H392" t="s">
        <v>641</v>
      </c>
      <c r="I392">
        <v>4</v>
      </c>
      <c r="J392" s="1">
        <v>85</v>
      </c>
      <c r="K392" s="1">
        <v>44</v>
      </c>
      <c r="L392" s="2">
        <v>0</v>
      </c>
      <c r="M392" t="s">
        <v>643</v>
      </c>
      <c r="N392" t="str">
        <f t="shared" si="56"/>
        <v>Credit Card</v>
      </c>
      <c r="O392" t="s">
        <v>648</v>
      </c>
      <c r="P392" t="str">
        <f t="shared" si="57"/>
        <v>Completed</v>
      </c>
      <c r="Q392" t="str">
        <f t="shared" si="58"/>
        <v>Valid</v>
      </c>
      <c r="R392" t="s">
        <v>656</v>
      </c>
      <c r="S392">
        <f t="shared" si="59"/>
        <v>340</v>
      </c>
      <c r="T392">
        <f t="shared" si="60"/>
        <v>176</v>
      </c>
      <c r="U392">
        <f t="shared" si="61"/>
        <v>164</v>
      </c>
      <c r="V392" s="8">
        <f t="shared" si="62"/>
        <v>0.4823529411764706</v>
      </c>
    </row>
    <row r="393" spans="1:22" x14ac:dyDescent="0.3">
      <c r="A393" t="s">
        <v>404</v>
      </c>
      <c r="B393" s="4">
        <v>45835</v>
      </c>
      <c r="C393" t="s">
        <v>577</v>
      </c>
      <c r="D393" t="str">
        <f t="shared" si="54"/>
        <v>Emma Wilson</v>
      </c>
      <c r="E393" t="s">
        <v>617</v>
      </c>
      <c r="F393" t="str">
        <f t="shared" si="55"/>
        <v>Germany</v>
      </c>
      <c r="G393" t="s">
        <v>632</v>
      </c>
      <c r="H393" t="s">
        <v>639</v>
      </c>
      <c r="I393">
        <v>3</v>
      </c>
      <c r="J393" s="1">
        <v>42</v>
      </c>
      <c r="K393" s="1">
        <v>21</v>
      </c>
      <c r="L393" s="2">
        <v>0</v>
      </c>
      <c r="M393" t="s">
        <v>647</v>
      </c>
      <c r="N393" t="str">
        <f t="shared" si="56"/>
        <v>Credit Card</v>
      </c>
      <c r="O393" t="s">
        <v>650</v>
      </c>
      <c r="P393" t="str">
        <f t="shared" si="57"/>
        <v>Cancelled</v>
      </c>
      <c r="Q393" t="str">
        <f t="shared" si="58"/>
        <v>Valid</v>
      </c>
      <c r="R393" t="s">
        <v>670</v>
      </c>
      <c r="S393">
        <f t="shared" si="59"/>
        <v>126</v>
      </c>
      <c r="T393">
        <f t="shared" si="60"/>
        <v>63</v>
      </c>
      <c r="U393">
        <f t="shared" si="61"/>
        <v>63</v>
      </c>
      <c r="V393" s="8">
        <f t="shared" si="62"/>
        <v>0.5</v>
      </c>
    </row>
    <row r="394" spans="1:22" x14ac:dyDescent="0.3">
      <c r="A394" t="s">
        <v>405</v>
      </c>
      <c r="B394" s="4">
        <v>45987</v>
      </c>
      <c r="C394" t="s">
        <v>569</v>
      </c>
      <c r="D394" t="str">
        <f t="shared" si="54"/>
        <v>Mia White</v>
      </c>
      <c r="E394" t="s">
        <v>623</v>
      </c>
      <c r="F394" t="str">
        <f t="shared" si="55"/>
        <v>United States</v>
      </c>
      <c r="G394" t="s">
        <v>632</v>
      </c>
      <c r="H394" t="s">
        <v>639</v>
      </c>
      <c r="I394">
        <v>5</v>
      </c>
      <c r="J394" s="1">
        <v>42</v>
      </c>
      <c r="K394" s="1">
        <v>21</v>
      </c>
      <c r="L394" s="2">
        <v>0.1</v>
      </c>
      <c r="M394" t="s">
        <v>646</v>
      </c>
      <c r="N394" t="str">
        <f t="shared" si="56"/>
        <v>Debit Card</v>
      </c>
      <c r="O394" t="s">
        <v>648</v>
      </c>
      <c r="P394" t="str">
        <f t="shared" si="57"/>
        <v>Completed</v>
      </c>
      <c r="Q394" t="str">
        <f t="shared" si="58"/>
        <v>Valid</v>
      </c>
      <c r="R394" t="s">
        <v>662</v>
      </c>
      <c r="S394">
        <f t="shared" si="59"/>
        <v>189</v>
      </c>
      <c r="T394">
        <f t="shared" si="60"/>
        <v>105</v>
      </c>
      <c r="U394">
        <f t="shared" si="61"/>
        <v>84</v>
      </c>
      <c r="V394" s="8">
        <f t="shared" si="62"/>
        <v>0.44444444444444442</v>
      </c>
    </row>
    <row r="395" spans="1:22" x14ac:dyDescent="0.3">
      <c r="A395" t="s">
        <v>406</v>
      </c>
      <c r="B395" s="4">
        <v>45977</v>
      </c>
      <c r="C395" t="s">
        <v>564</v>
      </c>
      <c r="D395" t="str">
        <f t="shared" si="54"/>
        <v>Ava Thomas</v>
      </c>
      <c r="E395" t="s">
        <v>607</v>
      </c>
      <c r="F395" t="str">
        <f t="shared" si="55"/>
        <v>Germany</v>
      </c>
      <c r="G395" t="s">
        <v>626</v>
      </c>
      <c r="H395" t="s">
        <v>638</v>
      </c>
      <c r="I395">
        <v>3</v>
      </c>
      <c r="J395" s="1">
        <v>36</v>
      </c>
      <c r="K395" s="1">
        <v>16</v>
      </c>
      <c r="L395" s="2">
        <v>0.2</v>
      </c>
      <c r="M395" t="s">
        <v>644</v>
      </c>
      <c r="N395" t="s">
        <v>644</v>
      </c>
      <c r="O395" t="s">
        <v>648</v>
      </c>
      <c r="P395" t="str">
        <f t="shared" si="57"/>
        <v>Completed</v>
      </c>
      <c r="Q395" t="str">
        <f t="shared" si="58"/>
        <v>Valid</v>
      </c>
      <c r="R395" t="s">
        <v>657</v>
      </c>
      <c r="S395">
        <f t="shared" si="59"/>
        <v>86.4</v>
      </c>
      <c r="T395">
        <f t="shared" si="60"/>
        <v>48</v>
      </c>
      <c r="U395">
        <f t="shared" si="61"/>
        <v>38.400000000000006</v>
      </c>
      <c r="V395" s="8">
        <f t="shared" si="62"/>
        <v>0.44444444444444448</v>
      </c>
    </row>
    <row r="396" spans="1:22" x14ac:dyDescent="0.3">
      <c r="A396" t="s">
        <v>407</v>
      </c>
      <c r="B396" s="4">
        <v>45730</v>
      </c>
      <c r="C396" t="s">
        <v>596</v>
      </c>
      <c r="D396" t="str">
        <f t="shared" si="54"/>
        <v>Chloe Lewis</v>
      </c>
      <c r="E396" t="s">
        <v>600</v>
      </c>
      <c r="F396" t="str">
        <f t="shared" si="55"/>
        <v>Australia</v>
      </c>
      <c r="G396" t="s">
        <v>635</v>
      </c>
      <c r="H396" t="s">
        <v>639</v>
      </c>
      <c r="I396">
        <v>2</v>
      </c>
      <c r="J396" s="1">
        <v>65</v>
      </c>
      <c r="K396" s="1">
        <v>31</v>
      </c>
      <c r="L396" s="2">
        <v>0</v>
      </c>
      <c r="M396" t="s">
        <v>647</v>
      </c>
      <c r="N396" t="str">
        <f t="shared" si="56"/>
        <v>Credit Card</v>
      </c>
      <c r="O396" t="s">
        <v>648</v>
      </c>
      <c r="P396" t="str">
        <f t="shared" si="57"/>
        <v>Completed</v>
      </c>
      <c r="Q396" t="str">
        <f t="shared" si="58"/>
        <v>Valid</v>
      </c>
      <c r="R396" t="s">
        <v>669</v>
      </c>
      <c r="S396">
        <f t="shared" si="59"/>
        <v>130</v>
      </c>
      <c r="T396">
        <f t="shared" si="60"/>
        <v>62</v>
      </c>
      <c r="U396">
        <f t="shared" si="61"/>
        <v>68</v>
      </c>
      <c r="V396" s="8">
        <f t="shared" si="62"/>
        <v>0.52307692307692311</v>
      </c>
    </row>
    <row r="397" spans="1:22" x14ac:dyDescent="0.3">
      <c r="A397" t="s">
        <v>408</v>
      </c>
      <c r="B397" s="4">
        <v>45690</v>
      </c>
      <c r="C397" t="s">
        <v>586</v>
      </c>
      <c r="D397" t="str">
        <f t="shared" si="54"/>
        <v>Ella Martin</v>
      </c>
      <c r="E397" t="s">
        <v>600</v>
      </c>
      <c r="F397" t="str">
        <f t="shared" si="55"/>
        <v>Australia</v>
      </c>
      <c r="G397" t="s">
        <v>626</v>
      </c>
      <c r="H397" t="s">
        <v>638</v>
      </c>
      <c r="I397">
        <v>3</v>
      </c>
      <c r="J397" s="1">
        <v>36</v>
      </c>
      <c r="K397" s="1">
        <v>16</v>
      </c>
      <c r="L397" s="2">
        <v>0</v>
      </c>
      <c r="M397" t="s">
        <v>645</v>
      </c>
      <c r="N397" t="str">
        <f t="shared" si="56"/>
        <v>Bank Transfer</v>
      </c>
      <c r="O397" t="s">
        <v>649</v>
      </c>
      <c r="P397" t="str">
        <f t="shared" si="57"/>
        <v>Pending</v>
      </c>
      <c r="Q397" t="str">
        <f t="shared" si="58"/>
        <v>Valid</v>
      </c>
      <c r="R397" t="s">
        <v>671</v>
      </c>
      <c r="S397">
        <f t="shared" si="59"/>
        <v>108</v>
      </c>
      <c r="T397">
        <f t="shared" si="60"/>
        <v>48</v>
      </c>
      <c r="U397">
        <f t="shared" si="61"/>
        <v>60</v>
      </c>
      <c r="V397" s="8">
        <f t="shared" si="62"/>
        <v>0.55555555555555558</v>
      </c>
    </row>
    <row r="398" spans="1:22" x14ac:dyDescent="0.3">
      <c r="A398" t="s">
        <v>409</v>
      </c>
      <c r="B398" s="4">
        <v>45990</v>
      </c>
      <c r="C398" t="s">
        <v>580</v>
      </c>
      <c r="D398" t="str">
        <f t="shared" si="54"/>
        <v>Benjamin Walker</v>
      </c>
      <c r="E398" t="s">
        <v>607</v>
      </c>
      <c r="F398" t="str">
        <f t="shared" si="55"/>
        <v>Germany</v>
      </c>
      <c r="G398" t="s">
        <v>626</v>
      </c>
      <c r="H398" t="s">
        <v>638</v>
      </c>
      <c r="I398">
        <v>3</v>
      </c>
      <c r="J398" s="1">
        <v>36</v>
      </c>
      <c r="K398" s="1">
        <v>16</v>
      </c>
      <c r="L398" s="2">
        <v>0.1</v>
      </c>
      <c r="M398" t="s">
        <v>645</v>
      </c>
      <c r="N398" t="str">
        <f t="shared" si="56"/>
        <v>Bank Transfer</v>
      </c>
      <c r="O398" t="s">
        <v>648</v>
      </c>
      <c r="P398" t="str">
        <f t="shared" si="57"/>
        <v>Completed</v>
      </c>
      <c r="Q398" t="str">
        <f t="shared" si="58"/>
        <v>Valid</v>
      </c>
      <c r="R398" t="s">
        <v>672</v>
      </c>
      <c r="S398">
        <f t="shared" si="59"/>
        <v>97.2</v>
      </c>
      <c r="T398">
        <f t="shared" si="60"/>
        <v>48</v>
      </c>
      <c r="U398">
        <f t="shared" si="61"/>
        <v>49.2</v>
      </c>
      <c r="V398" s="8">
        <f t="shared" si="62"/>
        <v>0.50617283950617287</v>
      </c>
    </row>
    <row r="399" spans="1:22" x14ac:dyDescent="0.3">
      <c r="A399" t="s">
        <v>410</v>
      </c>
      <c r="B399" s="4">
        <v>45781</v>
      </c>
      <c r="C399" t="s">
        <v>577</v>
      </c>
      <c r="D399" t="str">
        <f t="shared" si="54"/>
        <v>Emma Wilson</v>
      </c>
      <c r="E399" t="s">
        <v>619</v>
      </c>
      <c r="F399" t="str">
        <f t="shared" si="55"/>
        <v>India</v>
      </c>
      <c r="G399" t="s">
        <v>635</v>
      </c>
      <c r="H399" t="s">
        <v>639</v>
      </c>
      <c r="I399">
        <v>4</v>
      </c>
      <c r="J399" s="1">
        <v>65</v>
      </c>
      <c r="K399" s="1">
        <v>31</v>
      </c>
      <c r="L399" s="2">
        <v>0.05</v>
      </c>
      <c r="M399" t="s">
        <v>642</v>
      </c>
      <c r="N399" t="s">
        <v>644</v>
      </c>
      <c r="O399" t="s">
        <v>651</v>
      </c>
      <c r="P399" t="str">
        <f t="shared" si="57"/>
        <v>Shipped</v>
      </c>
      <c r="Q399" t="str">
        <f t="shared" si="58"/>
        <v>Valid</v>
      </c>
      <c r="R399" t="s">
        <v>670</v>
      </c>
      <c r="S399">
        <f t="shared" si="59"/>
        <v>247</v>
      </c>
      <c r="T399">
        <f t="shared" si="60"/>
        <v>124</v>
      </c>
      <c r="U399">
        <f t="shared" si="61"/>
        <v>123</v>
      </c>
      <c r="V399" s="8">
        <f t="shared" si="62"/>
        <v>0.49797570850202427</v>
      </c>
    </row>
    <row r="400" spans="1:22" x14ac:dyDescent="0.3">
      <c r="A400" t="s">
        <v>411</v>
      </c>
      <c r="B400" s="4">
        <v>45670</v>
      </c>
      <c r="C400" t="s">
        <v>583</v>
      </c>
      <c r="D400" t="str">
        <f t="shared" si="54"/>
        <v>Ethan Anderson</v>
      </c>
      <c r="E400" t="s">
        <v>612</v>
      </c>
      <c r="F400" t="str">
        <f t="shared" si="55"/>
        <v>United Kingdom</v>
      </c>
      <c r="G400" t="s">
        <v>627</v>
      </c>
      <c r="H400" t="s">
        <v>639</v>
      </c>
      <c r="I400">
        <v>5</v>
      </c>
      <c r="J400" s="1">
        <v>38</v>
      </c>
      <c r="K400" s="1">
        <v>17</v>
      </c>
      <c r="L400" s="2">
        <v>0.05</v>
      </c>
      <c r="M400" t="s">
        <v>645</v>
      </c>
      <c r="N400" t="str">
        <f t="shared" si="56"/>
        <v>Bank Transfer</v>
      </c>
      <c r="O400" t="s">
        <v>649</v>
      </c>
      <c r="P400" t="str">
        <f t="shared" si="57"/>
        <v>Pending</v>
      </c>
      <c r="Q400" t="str">
        <f t="shared" si="58"/>
        <v>Valid</v>
      </c>
      <c r="R400" t="s">
        <v>673</v>
      </c>
      <c r="S400">
        <f t="shared" si="59"/>
        <v>180.5</v>
      </c>
      <c r="T400">
        <f t="shared" si="60"/>
        <v>85</v>
      </c>
      <c r="U400">
        <f t="shared" si="61"/>
        <v>95.5</v>
      </c>
      <c r="V400" s="8">
        <f t="shared" si="62"/>
        <v>0.52908587257617734</v>
      </c>
    </row>
    <row r="401" spans="1:22" x14ac:dyDescent="0.3">
      <c r="A401" t="s">
        <v>412</v>
      </c>
      <c r="B401" s="4">
        <v>45831</v>
      </c>
      <c r="C401" t="s">
        <v>578</v>
      </c>
      <c r="D401" t="str">
        <f t="shared" si="54"/>
        <v>Ella Martin</v>
      </c>
      <c r="E401" t="s">
        <v>618</v>
      </c>
      <c r="F401" t="str">
        <f t="shared" si="55"/>
        <v>United Kingdom</v>
      </c>
      <c r="G401" t="s">
        <v>626</v>
      </c>
      <c r="H401" t="s">
        <v>638</v>
      </c>
      <c r="I401">
        <v>1</v>
      </c>
      <c r="J401" s="1">
        <v>36</v>
      </c>
      <c r="K401" s="1">
        <v>16</v>
      </c>
      <c r="L401" s="2">
        <v>0</v>
      </c>
      <c r="M401" t="s">
        <v>643</v>
      </c>
      <c r="N401" t="str">
        <f t="shared" si="56"/>
        <v>Credit Card</v>
      </c>
      <c r="O401" t="s">
        <v>648</v>
      </c>
      <c r="P401" t="str">
        <f t="shared" si="57"/>
        <v>Completed</v>
      </c>
      <c r="Q401" t="str">
        <f t="shared" si="58"/>
        <v>Valid</v>
      </c>
      <c r="R401" t="s">
        <v>671</v>
      </c>
      <c r="S401">
        <f t="shared" si="59"/>
        <v>36</v>
      </c>
      <c r="T401">
        <f t="shared" si="60"/>
        <v>16</v>
      </c>
      <c r="U401">
        <f t="shared" si="61"/>
        <v>20</v>
      </c>
      <c r="V401" s="8">
        <f t="shared" si="62"/>
        <v>0.55555555555555558</v>
      </c>
    </row>
    <row r="402" spans="1:22" x14ac:dyDescent="0.3">
      <c r="A402" t="s">
        <v>413</v>
      </c>
      <c r="B402" s="4">
        <v>45844</v>
      </c>
      <c r="C402" t="s">
        <v>573</v>
      </c>
      <c r="D402" t="str">
        <f t="shared" si="54"/>
        <v>Noah Brown</v>
      </c>
      <c r="E402" t="s">
        <v>602</v>
      </c>
      <c r="F402" t="str">
        <f t="shared" si="55"/>
        <v>Australia</v>
      </c>
      <c r="G402" t="s">
        <v>635</v>
      </c>
      <c r="H402" t="s">
        <v>639</v>
      </c>
      <c r="I402">
        <v>4</v>
      </c>
      <c r="J402" s="1">
        <v>65</v>
      </c>
      <c r="K402" s="1">
        <v>31</v>
      </c>
      <c r="L402" s="2">
        <v>0.15</v>
      </c>
      <c r="M402" t="s">
        <v>643</v>
      </c>
      <c r="N402" t="str">
        <f t="shared" si="56"/>
        <v>Credit Card</v>
      </c>
      <c r="O402" t="s">
        <v>651</v>
      </c>
      <c r="P402" t="str">
        <f t="shared" si="57"/>
        <v>Shipped</v>
      </c>
      <c r="Q402" t="str">
        <f t="shared" si="58"/>
        <v>Valid</v>
      </c>
      <c r="R402" t="s">
        <v>667</v>
      </c>
      <c r="S402">
        <f t="shared" si="59"/>
        <v>221</v>
      </c>
      <c r="T402">
        <f t="shared" si="60"/>
        <v>124</v>
      </c>
      <c r="U402">
        <f t="shared" si="61"/>
        <v>97</v>
      </c>
      <c r="V402" s="8">
        <f t="shared" si="62"/>
        <v>0.43891402714932126</v>
      </c>
    </row>
    <row r="403" spans="1:22" x14ac:dyDescent="0.3">
      <c r="A403" t="s">
        <v>414</v>
      </c>
      <c r="B403" s="4">
        <v>45743</v>
      </c>
      <c r="C403" t="s">
        <v>566</v>
      </c>
      <c r="D403" t="str">
        <f t="shared" si="54"/>
        <v>Lily Hall</v>
      </c>
      <c r="E403" t="s">
        <v>615</v>
      </c>
      <c r="F403" t="str">
        <f t="shared" si="55"/>
        <v>Canada</v>
      </c>
      <c r="G403" t="s">
        <v>628</v>
      </c>
      <c r="H403" t="s">
        <v>639</v>
      </c>
      <c r="I403">
        <v>1</v>
      </c>
      <c r="J403" s="1">
        <v>18</v>
      </c>
      <c r="K403" s="1">
        <v>7</v>
      </c>
      <c r="L403" s="2">
        <v>0</v>
      </c>
      <c r="M403" t="s">
        <v>647</v>
      </c>
      <c r="N403" t="str">
        <f t="shared" si="56"/>
        <v>Credit Card</v>
      </c>
      <c r="O403" t="s">
        <v>651</v>
      </c>
      <c r="P403" t="str">
        <f t="shared" si="57"/>
        <v>Shipped</v>
      </c>
      <c r="Q403" t="str">
        <f t="shared" si="58"/>
        <v>Valid</v>
      </c>
      <c r="R403" t="s">
        <v>659</v>
      </c>
      <c r="S403">
        <f t="shared" si="59"/>
        <v>18</v>
      </c>
      <c r="T403">
        <f t="shared" si="60"/>
        <v>7</v>
      </c>
      <c r="U403">
        <f t="shared" si="61"/>
        <v>11</v>
      </c>
      <c r="V403" s="8">
        <f t="shared" si="62"/>
        <v>0.61111111111111116</v>
      </c>
    </row>
    <row r="404" spans="1:22" x14ac:dyDescent="0.3">
      <c r="A404" t="s">
        <v>415</v>
      </c>
      <c r="B404" s="4">
        <v>45804</v>
      </c>
      <c r="C404" t="s">
        <v>584</v>
      </c>
      <c r="D404" t="str">
        <f t="shared" si="54"/>
        <v>James Thompson</v>
      </c>
      <c r="E404" t="s">
        <v>613</v>
      </c>
      <c r="F404" t="str">
        <f t="shared" si="55"/>
        <v>Singapore</v>
      </c>
      <c r="G404" t="s">
        <v>626</v>
      </c>
      <c r="H404" t="s">
        <v>638</v>
      </c>
      <c r="I404">
        <v>4</v>
      </c>
      <c r="J404" s="1">
        <v>36</v>
      </c>
      <c r="K404" s="1">
        <v>16</v>
      </c>
      <c r="L404" s="2">
        <v>0</v>
      </c>
      <c r="M404" t="s">
        <v>646</v>
      </c>
      <c r="N404" t="str">
        <f t="shared" si="56"/>
        <v>Debit Card</v>
      </c>
      <c r="O404" t="s">
        <v>649</v>
      </c>
      <c r="P404" t="str">
        <f t="shared" si="57"/>
        <v>Pending</v>
      </c>
      <c r="Q404" t="str">
        <f t="shared" si="58"/>
        <v>Valid</v>
      </c>
      <c r="R404" t="s">
        <v>675</v>
      </c>
      <c r="S404">
        <f t="shared" si="59"/>
        <v>144</v>
      </c>
      <c r="T404">
        <f t="shared" si="60"/>
        <v>64</v>
      </c>
      <c r="U404">
        <f t="shared" si="61"/>
        <v>80</v>
      </c>
      <c r="V404" s="8">
        <f t="shared" si="62"/>
        <v>0.55555555555555558</v>
      </c>
    </row>
    <row r="405" spans="1:22" x14ac:dyDescent="0.3">
      <c r="A405" t="s">
        <v>416</v>
      </c>
      <c r="B405" s="4">
        <v>45790</v>
      </c>
      <c r="C405" t="s">
        <v>572</v>
      </c>
      <c r="D405" t="str">
        <f t="shared" si="54"/>
        <v>Olivia Davis</v>
      </c>
      <c r="E405" t="s">
        <v>600</v>
      </c>
      <c r="F405" t="str">
        <f t="shared" si="55"/>
        <v>Australia</v>
      </c>
      <c r="G405" t="s">
        <v>636</v>
      </c>
      <c r="H405" t="s">
        <v>641</v>
      </c>
      <c r="I405">
        <v>3</v>
      </c>
      <c r="J405" s="1">
        <v>245</v>
      </c>
      <c r="K405" s="1">
        <v>150</v>
      </c>
      <c r="L405" s="2">
        <v>0.15</v>
      </c>
      <c r="M405" t="s">
        <v>644</v>
      </c>
      <c r="N405" t="s">
        <v>644</v>
      </c>
      <c r="O405" t="s">
        <v>650</v>
      </c>
      <c r="P405" t="str">
        <f t="shared" si="57"/>
        <v>Cancelled</v>
      </c>
      <c r="Q405" t="str">
        <f t="shared" si="58"/>
        <v>Valid</v>
      </c>
      <c r="R405" t="s">
        <v>665</v>
      </c>
      <c r="S405">
        <f t="shared" si="59"/>
        <v>624.75</v>
      </c>
      <c r="T405">
        <f t="shared" si="60"/>
        <v>450</v>
      </c>
      <c r="U405">
        <f t="shared" si="61"/>
        <v>174.75</v>
      </c>
      <c r="V405" s="8">
        <f t="shared" si="62"/>
        <v>0.27971188475390157</v>
      </c>
    </row>
    <row r="406" spans="1:22" x14ac:dyDescent="0.3">
      <c r="A406" t="s">
        <v>417</v>
      </c>
      <c r="B406" s="4">
        <v>46004</v>
      </c>
      <c r="C406" t="s">
        <v>568</v>
      </c>
      <c r="D406" t="str">
        <f t="shared" si="54"/>
        <v>Daniel Harris</v>
      </c>
      <c r="E406" t="s">
        <v>620</v>
      </c>
      <c r="F406" t="str">
        <f t="shared" si="55"/>
        <v>India</v>
      </c>
      <c r="G406" t="s">
        <v>637</v>
      </c>
      <c r="H406" t="s">
        <v>641</v>
      </c>
      <c r="I406">
        <v>1</v>
      </c>
      <c r="J406" s="1">
        <v>175</v>
      </c>
      <c r="K406" s="1">
        <v>105</v>
      </c>
      <c r="L406" s="2">
        <v>0.15</v>
      </c>
      <c r="M406" t="s">
        <v>647</v>
      </c>
      <c r="N406" t="str">
        <f t="shared" si="56"/>
        <v>Credit Card</v>
      </c>
      <c r="O406" t="s">
        <v>648</v>
      </c>
      <c r="P406" t="str">
        <f t="shared" si="57"/>
        <v>Completed</v>
      </c>
      <c r="Q406" t="str">
        <f t="shared" si="58"/>
        <v>Valid</v>
      </c>
      <c r="R406" t="s">
        <v>666</v>
      </c>
      <c r="S406">
        <f t="shared" si="59"/>
        <v>148.75</v>
      </c>
      <c r="T406">
        <f t="shared" si="60"/>
        <v>105</v>
      </c>
      <c r="U406">
        <f t="shared" si="61"/>
        <v>43.75</v>
      </c>
      <c r="V406" s="8">
        <f t="shared" si="62"/>
        <v>0.29411764705882354</v>
      </c>
    </row>
    <row r="407" spans="1:22" x14ac:dyDescent="0.3">
      <c r="A407" t="s">
        <v>418</v>
      </c>
      <c r="B407" s="4">
        <v>45880</v>
      </c>
      <c r="C407" t="s">
        <v>564</v>
      </c>
      <c r="D407" t="str">
        <f t="shared" si="54"/>
        <v>Ava Thomas</v>
      </c>
      <c r="E407" t="s">
        <v>609</v>
      </c>
      <c r="F407" t="str">
        <f t="shared" si="55"/>
        <v>Singapore</v>
      </c>
      <c r="G407" t="s">
        <v>636</v>
      </c>
      <c r="H407" t="s">
        <v>641</v>
      </c>
      <c r="I407">
        <v>1</v>
      </c>
      <c r="J407" s="1">
        <v>245</v>
      </c>
      <c r="K407" s="1">
        <v>150</v>
      </c>
      <c r="L407" s="2">
        <v>0</v>
      </c>
      <c r="M407" t="s">
        <v>644</v>
      </c>
      <c r="N407" t="s">
        <v>644</v>
      </c>
      <c r="O407" t="s">
        <v>649</v>
      </c>
      <c r="P407" t="str">
        <f t="shared" si="57"/>
        <v>Pending</v>
      </c>
      <c r="Q407" t="str">
        <f t="shared" si="58"/>
        <v>Valid</v>
      </c>
      <c r="R407" t="s">
        <v>657</v>
      </c>
      <c r="S407">
        <f t="shared" si="59"/>
        <v>245</v>
      </c>
      <c r="T407">
        <f t="shared" si="60"/>
        <v>150</v>
      </c>
      <c r="U407">
        <f t="shared" si="61"/>
        <v>95</v>
      </c>
      <c r="V407" s="8">
        <f t="shared" si="62"/>
        <v>0.38775510204081631</v>
      </c>
    </row>
    <row r="408" spans="1:22" x14ac:dyDescent="0.3">
      <c r="A408" t="s">
        <v>419</v>
      </c>
      <c r="B408" s="4">
        <v>45835</v>
      </c>
      <c r="C408" t="s">
        <v>580</v>
      </c>
      <c r="D408" t="str">
        <f t="shared" si="54"/>
        <v>Benjamin Walker</v>
      </c>
      <c r="E408" t="s">
        <v>611</v>
      </c>
      <c r="F408" t="str">
        <f t="shared" si="55"/>
        <v>United States</v>
      </c>
      <c r="G408" t="s">
        <v>637</v>
      </c>
      <c r="H408" t="s">
        <v>641</v>
      </c>
      <c r="I408">
        <v>1</v>
      </c>
      <c r="J408" s="1">
        <v>175</v>
      </c>
      <c r="K408" s="1">
        <v>105</v>
      </c>
      <c r="L408" s="2">
        <v>0.15</v>
      </c>
      <c r="M408" t="s">
        <v>642</v>
      </c>
      <c r="N408" t="s">
        <v>644</v>
      </c>
      <c r="O408" t="s">
        <v>648</v>
      </c>
      <c r="P408" t="str">
        <f t="shared" si="57"/>
        <v>Completed</v>
      </c>
      <c r="Q408" t="str">
        <f t="shared" si="58"/>
        <v>Valid</v>
      </c>
      <c r="R408" t="s">
        <v>672</v>
      </c>
      <c r="S408">
        <f t="shared" si="59"/>
        <v>148.75</v>
      </c>
      <c r="T408">
        <f t="shared" si="60"/>
        <v>105</v>
      </c>
      <c r="U408">
        <f t="shared" si="61"/>
        <v>43.75</v>
      </c>
      <c r="V408" s="8">
        <f t="shared" si="62"/>
        <v>0.29411764705882354</v>
      </c>
    </row>
    <row r="409" spans="1:22" x14ac:dyDescent="0.3">
      <c r="A409" t="s">
        <v>420</v>
      </c>
      <c r="B409" s="4">
        <v>45887</v>
      </c>
      <c r="C409" t="s">
        <v>573</v>
      </c>
      <c r="D409" t="str">
        <f t="shared" si="54"/>
        <v>Noah Brown</v>
      </c>
      <c r="E409" t="s">
        <v>614</v>
      </c>
      <c r="F409" t="str">
        <f t="shared" si="55"/>
        <v>Australia</v>
      </c>
      <c r="G409" t="s">
        <v>627</v>
      </c>
      <c r="H409" t="s">
        <v>639</v>
      </c>
      <c r="I409">
        <v>2</v>
      </c>
      <c r="J409" s="1">
        <v>38</v>
      </c>
      <c r="K409" s="1">
        <v>17</v>
      </c>
      <c r="L409" s="2">
        <v>0.15</v>
      </c>
      <c r="M409" t="s">
        <v>642</v>
      </c>
      <c r="N409" t="s">
        <v>644</v>
      </c>
      <c r="O409" t="s">
        <v>650</v>
      </c>
      <c r="P409" t="str">
        <f t="shared" si="57"/>
        <v>Cancelled</v>
      </c>
      <c r="Q409" t="str">
        <f t="shared" si="58"/>
        <v>Valid</v>
      </c>
      <c r="R409" t="s">
        <v>667</v>
      </c>
      <c r="S409">
        <f t="shared" si="59"/>
        <v>64.599999999999994</v>
      </c>
      <c r="T409">
        <f t="shared" si="60"/>
        <v>34</v>
      </c>
      <c r="U409">
        <f t="shared" si="61"/>
        <v>30.599999999999994</v>
      </c>
      <c r="V409" s="8">
        <f t="shared" si="62"/>
        <v>0.47368421052631576</v>
      </c>
    </row>
    <row r="410" spans="1:22" x14ac:dyDescent="0.3">
      <c r="A410" t="s">
        <v>421</v>
      </c>
      <c r="B410" s="4">
        <v>45911</v>
      </c>
      <c r="C410" t="s">
        <v>583</v>
      </c>
      <c r="D410" t="str">
        <f t="shared" si="54"/>
        <v>Ethan Anderson</v>
      </c>
      <c r="E410" t="s">
        <v>602</v>
      </c>
      <c r="F410" t="str">
        <f t="shared" si="55"/>
        <v>Australia</v>
      </c>
      <c r="G410" t="s">
        <v>634</v>
      </c>
      <c r="H410" t="s">
        <v>641</v>
      </c>
      <c r="I410">
        <v>2</v>
      </c>
      <c r="J410" s="1">
        <v>59</v>
      </c>
      <c r="K410" s="1">
        <v>30</v>
      </c>
      <c r="L410" s="2">
        <v>0.1</v>
      </c>
      <c r="M410" t="s">
        <v>643</v>
      </c>
      <c r="N410" t="str">
        <f t="shared" si="56"/>
        <v>Credit Card</v>
      </c>
      <c r="O410" t="s">
        <v>649</v>
      </c>
      <c r="P410" t="str">
        <f t="shared" si="57"/>
        <v>Pending</v>
      </c>
      <c r="Q410" t="str">
        <f t="shared" si="58"/>
        <v>Valid</v>
      </c>
      <c r="R410" t="s">
        <v>673</v>
      </c>
      <c r="S410">
        <f t="shared" si="59"/>
        <v>106.2</v>
      </c>
      <c r="T410">
        <f t="shared" si="60"/>
        <v>60</v>
      </c>
      <c r="U410">
        <f t="shared" si="61"/>
        <v>46.2</v>
      </c>
      <c r="V410" s="8">
        <f t="shared" si="62"/>
        <v>0.43502824858757061</v>
      </c>
    </row>
    <row r="411" spans="1:22" x14ac:dyDescent="0.3">
      <c r="A411" t="s">
        <v>422</v>
      </c>
      <c r="B411" s="4">
        <v>45916</v>
      </c>
      <c r="C411" t="s">
        <v>575</v>
      </c>
      <c r="D411" t="str">
        <f t="shared" si="54"/>
        <v>Lucas Jackson</v>
      </c>
      <c r="E411" t="s">
        <v>621</v>
      </c>
      <c r="F411" t="str">
        <f t="shared" si="55"/>
        <v>Canada</v>
      </c>
      <c r="G411" t="s">
        <v>630</v>
      </c>
      <c r="H411" t="s">
        <v>640</v>
      </c>
      <c r="I411">
        <v>2</v>
      </c>
      <c r="J411" s="1">
        <v>78</v>
      </c>
      <c r="K411" s="1">
        <v>45</v>
      </c>
      <c r="L411" s="2">
        <v>0.05</v>
      </c>
      <c r="M411" t="s">
        <v>643</v>
      </c>
      <c r="N411" t="str">
        <f t="shared" si="56"/>
        <v>Credit Card</v>
      </c>
      <c r="O411" t="s">
        <v>649</v>
      </c>
      <c r="P411" t="str">
        <f t="shared" si="57"/>
        <v>Pending</v>
      </c>
      <c r="Q411" t="str">
        <f t="shared" si="58"/>
        <v>Valid</v>
      </c>
      <c r="R411" t="s">
        <v>668</v>
      </c>
      <c r="S411">
        <f t="shared" si="59"/>
        <v>148.19999999999999</v>
      </c>
      <c r="T411">
        <f t="shared" si="60"/>
        <v>90</v>
      </c>
      <c r="U411">
        <f t="shared" si="61"/>
        <v>58.199999999999989</v>
      </c>
      <c r="V411" s="8">
        <f t="shared" si="62"/>
        <v>0.39271255060728738</v>
      </c>
    </row>
    <row r="412" spans="1:22" x14ac:dyDescent="0.3">
      <c r="A412" t="s">
        <v>423</v>
      </c>
      <c r="B412" s="4">
        <v>45821</v>
      </c>
      <c r="C412" t="s">
        <v>564</v>
      </c>
      <c r="D412" t="str">
        <f t="shared" si="54"/>
        <v>Ava Thomas</v>
      </c>
      <c r="E412" t="s">
        <v>616</v>
      </c>
      <c r="F412" t="str">
        <f t="shared" si="55"/>
        <v>United Kingdom</v>
      </c>
      <c r="G412" t="s">
        <v>631</v>
      </c>
      <c r="H412" t="s">
        <v>641</v>
      </c>
      <c r="I412">
        <v>5</v>
      </c>
      <c r="J412" s="1">
        <v>85</v>
      </c>
      <c r="K412" s="1">
        <v>44</v>
      </c>
      <c r="L412" s="2">
        <v>0</v>
      </c>
      <c r="M412" t="s">
        <v>647</v>
      </c>
      <c r="N412" t="str">
        <f t="shared" si="56"/>
        <v>Credit Card</v>
      </c>
      <c r="O412" t="s">
        <v>648</v>
      </c>
      <c r="P412" t="str">
        <f t="shared" si="57"/>
        <v>Completed</v>
      </c>
      <c r="Q412" t="str">
        <f t="shared" si="58"/>
        <v>Valid</v>
      </c>
      <c r="R412" t="s">
        <v>657</v>
      </c>
      <c r="S412">
        <f t="shared" si="59"/>
        <v>425</v>
      </c>
      <c r="T412">
        <f t="shared" si="60"/>
        <v>220</v>
      </c>
      <c r="U412">
        <f t="shared" si="61"/>
        <v>205</v>
      </c>
      <c r="V412" s="8">
        <f t="shared" si="62"/>
        <v>0.4823529411764706</v>
      </c>
    </row>
    <row r="413" spans="1:22" x14ac:dyDescent="0.3">
      <c r="A413" t="s">
        <v>424</v>
      </c>
      <c r="B413" s="4">
        <v>45806</v>
      </c>
      <c r="C413" t="s">
        <v>571</v>
      </c>
      <c r="D413" t="str">
        <f t="shared" si="54"/>
        <v>Henry Clark</v>
      </c>
      <c r="E413" t="s">
        <v>609</v>
      </c>
      <c r="F413" t="str">
        <f t="shared" si="55"/>
        <v>Singapore</v>
      </c>
      <c r="G413" t="s">
        <v>637</v>
      </c>
      <c r="H413" t="s">
        <v>641</v>
      </c>
      <c r="I413">
        <v>1</v>
      </c>
      <c r="J413" s="1">
        <v>175</v>
      </c>
      <c r="K413" s="1">
        <v>105</v>
      </c>
      <c r="L413" s="2">
        <v>0</v>
      </c>
      <c r="M413" t="s">
        <v>642</v>
      </c>
      <c r="N413" t="s">
        <v>644</v>
      </c>
      <c r="O413" t="s">
        <v>649</v>
      </c>
      <c r="P413" t="str">
        <f t="shared" si="57"/>
        <v>Pending</v>
      </c>
      <c r="Q413" t="str">
        <f t="shared" si="58"/>
        <v>Valid</v>
      </c>
      <c r="R413" t="s">
        <v>664</v>
      </c>
      <c r="S413">
        <f t="shared" si="59"/>
        <v>175</v>
      </c>
      <c r="T413">
        <f t="shared" si="60"/>
        <v>105</v>
      </c>
      <c r="U413">
        <f t="shared" si="61"/>
        <v>70</v>
      </c>
      <c r="V413" s="8">
        <f t="shared" si="62"/>
        <v>0.4</v>
      </c>
    </row>
    <row r="414" spans="1:22" x14ac:dyDescent="0.3">
      <c r="A414" t="s">
        <v>425</v>
      </c>
      <c r="B414" s="4">
        <v>45808</v>
      </c>
      <c r="C414" t="s">
        <v>568</v>
      </c>
      <c r="D414" t="str">
        <f t="shared" si="54"/>
        <v>Daniel Harris</v>
      </c>
      <c r="E414" t="s">
        <v>619</v>
      </c>
      <c r="F414" t="str">
        <f t="shared" si="55"/>
        <v>India</v>
      </c>
      <c r="G414" t="s">
        <v>626</v>
      </c>
      <c r="H414" t="s">
        <v>638</v>
      </c>
      <c r="I414">
        <v>1</v>
      </c>
      <c r="J414" s="1">
        <v>36</v>
      </c>
      <c r="K414" s="1">
        <v>16</v>
      </c>
      <c r="L414" s="2">
        <v>0.1</v>
      </c>
      <c r="M414" t="s">
        <v>645</v>
      </c>
      <c r="N414" t="str">
        <f t="shared" si="56"/>
        <v>Bank Transfer</v>
      </c>
      <c r="O414" t="s">
        <v>649</v>
      </c>
      <c r="P414" t="str">
        <f t="shared" si="57"/>
        <v>Pending</v>
      </c>
      <c r="Q414" t="str">
        <f t="shared" si="58"/>
        <v>Valid</v>
      </c>
      <c r="R414" t="s">
        <v>666</v>
      </c>
      <c r="S414">
        <f t="shared" si="59"/>
        <v>32.4</v>
      </c>
      <c r="T414">
        <f t="shared" si="60"/>
        <v>16</v>
      </c>
      <c r="U414">
        <f t="shared" si="61"/>
        <v>16.399999999999999</v>
      </c>
      <c r="V414" s="8">
        <f t="shared" si="62"/>
        <v>0.50617283950617287</v>
      </c>
    </row>
    <row r="415" spans="1:22" x14ac:dyDescent="0.3">
      <c r="A415" t="s">
        <v>426</v>
      </c>
      <c r="B415" s="4">
        <v>45705</v>
      </c>
      <c r="C415" t="s">
        <v>568</v>
      </c>
      <c r="D415" t="str">
        <f t="shared" si="54"/>
        <v>Daniel Harris</v>
      </c>
      <c r="E415" t="s">
        <v>621</v>
      </c>
      <c r="F415" t="str">
        <f t="shared" si="55"/>
        <v>Canada</v>
      </c>
      <c r="G415" t="s">
        <v>632</v>
      </c>
      <c r="H415" t="s">
        <v>639</v>
      </c>
      <c r="I415">
        <v>2</v>
      </c>
      <c r="J415" s="1">
        <v>42</v>
      </c>
      <c r="K415" s="1">
        <v>21</v>
      </c>
      <c r="L415" s="2">
        <v>0.1</v>
      </c>
      <c r="M415" t="s">
        <v>645</v>
      </c>
      <c r="N415" t="str">
        <f t="shared" si="56"/>
        <v>Bank Transfer</v>
      </c>
      <c r="O415" t="s">
        <v>648</v>
      </c>
      <c r="P415" t="str">
        <f t="shared" si="57"/>
        <v>Completed</v>
      </c>
      <c r="Q415" t="str">
        <f t="shared" si="58"/>
        <v>Valid</v>
      </c>
      <c r="R415" t="s">
        <v>666</v>
      </c>
      <c r="S415">
        <f t="shared" si="59"/>
        <v>75.600000000000009</v>
      </c>
      <c r="T415">
        <f t="shared" si="60"/>
        <v>42</v>
      </c>
      <c r="U415">
        <f t="shared" si="61"/>
        <v>33.600000000000009</v>
      </c>
      <c r="V415" s="8">
        <f t="shared" si="62"/>
        <v>0.44444444444444453</v>
      </c>
    </row>
    <row r="416" spans="1:22" x14ac:dyDescent="0.3">
      <c r="A416" t="s">
        <v>427</v>
      </c>
      <c r="B416" s="4">
        <v>45916</v>
      </c>
      <c r="C416" t="s">
        <v>576</v>
      </c>
      <c r="D416" t="str">
        <f t="shared" si="54"/>
        <v>Chloe Lewis</v>
      </c>
      <c r="E416" t="s">
        <v>602</v>
      </c>
      <c r="F416" t="str">
        <f t="shared" si="55"/>
        <v>Australia</v>
      </c>
      <c r="G416" t="s">
        <v>626</v>
      </c>
      <c r="H416" t="s">
        <v>638</v>
      </c>
      <c r="I416">
        <v>4</v>
      </c>
      <c r="J416" s="1">
        <v>36</v>
      </c>
      <c r="K416" s="1">
        <v>16</v>
      </c>
      <c r="L416" s="2">
        <v>0</v>
      </c>
      <c r="M416" t="s">
        <v>644</v>
      </c>
      <c r="N416" t="s">
        <v>644</v>
      </c>
      <c r="O416" t="s">
        <v>648</v>
      </c>
      <c r="P416" t="str">
        <f t="shared" si="57"/>
        <v>Completed</v>
      </c>
      <c r="Q416" t="str">
        <f t="shared" si="58"/>
        <v>Valid</v>
      </c>
      <c r="R416" t="s">
        <v>669</v>
      </c>
      <c r="S416">
        <f t="shared" si="59"/>
        <v>144</v>
      </c>
      <c r="T416">
        <f t="shared" si="60"/>
        <v>64</v>
      </c>
      <c r="U416">
        <f t="shared" si="61"/>
        <v>80</v>
      </c>
      <c r="V416" s="8">
        <f t="shared" si="62"/>
        <v>0.55555555555555558</v>
      </c>
    </row>
    <row r="417" spans="1:22" x14ac:dyDescent="0.3">
      <c r="A417" t="s">
        <v>428</v>
      </c>
      <c r="B417" s="4">
        <v>45704</v>
      </c>
      <c r="C417" t="s">
        <v>570</v>
      </c>
      <c r="D417" t="str">
        <f t="shared" si="54"/>
        <v>Grace Moore</v>
      </c>
      <c r="E417" t="s">
        <v>618</v>
      </c>
      <c r="F417" t="str">
        <f t="shared" si="55"/>
        <v>United Kingdom</v>
      </c>
      <c r="G417" t="s">
        <v>626</v>
      </c>
      <c r="H417" t="s">
        <v>638</v>
      </c>
      <c r="I417">
        <v>3</v>
      </c>
      <c r="J417" s="1">
        <v>36</v>
      </c>
      <c r="K417" s="1">
        <v>16</v>
      </c>
      <c r="L417" s="2">
        <v>0.1</v>
      </c>
      <c r="M417" t="s">
        <v>642</v>
      </c>
      <c r="N417" t="s">
        <v>644</v>
      </c>
      <c r="O417" t="s">
        <v>648</v>
      </c>
      <c r="P417" t="str">
        <f t="shared" si="57"/>
        <v>Completed</v>
      </c>
      <c r="Q417" t="str">
        <f t="shared" si="58"/>
        <v>Valid</v>
      </c>
      <c r="R417" t="s">
        <v>663</v>
      </c>
      <c r="S417">
        <f t="shared" si="59"/>
        <v>97.2</v>
      </c>
      <c r="T417">
        <f t="shared" si="60"/>
        <v>48</v>
      </c>
      <c r="U417">
        <f t="shared" si="61"/>
        <v>49.2</v>
      </c>
      <c r="V417" s="8">
        <f t="shared" si="62"/>
        <v>0.50617283950617287</v>
      </c>
    </row>
    <row r="418" spans="1:22" x14ac:dyDescent="0.3">
      <c r="A418" t="s">
        <v>429</v>
      </c>
      <c r="B418" s="4">
        <v>45769</v>
      </c>
      <c r="C418" t="s">
        <v>563</v>
      </c>
      <c r="D418" t="str">
        <f t="shared" si="54"/>
        <v>Liam Miller</v>
      </c>
      <c r="E418" t="s">
        <v>622</v>
      </c>
      <c r="F418" t="str">
        <f t="shared" si="55"/>
        <v>United Arab Emirates</v>
      </c>
      <c r="G418" t="s">
        <v>631</v>
      </c>
      <c r="H418" t="s">
        <v>641</v>
      </c>
      <c r="I418">
        <v>2</v>
      </c>
      <c r="J418" s="1">
        <v>85</v>
      </c>
      <c r="K418" s="1">
        <v>44</v>
      </c>
      <c r="L418" s="2">
        <v>0.05</v>
      </c>
      <c r="M418" t="s">
        <v>644</v>
      </c>
      <c r="N418" t="s">
        <v>644</v>
      </c>
      <c r="O418" t="s">
        <v>648</v>
      </c>
      <c r="P418" t="str">
        <f t="shared" si="57"/>
        <v>Completed</v>
      </c>
      <c r="Q418" t="str">
        <f t="shared" si="58"/>
        <v>Valid</v>
      </c>
      <c r="R418" t="s">
        <v>656</v>
      </c>
      <c r="S418">
        <f t="shared" si="59"/>
        <v>161.5</v>
      </c>
      <c r="T418">
        <f t="shared" si="60"/>
        <v>88</v>
      </c>
      <c r="U418">
        <f t="shared" si="61"/>
        <v>73.5</v>
      </c>
      <c r="V418" s="8">
        <f t="shared" si="62"/>
        <v>0.45510835913312692</v>
      </c>
    </row>
    <row r="419" spans="1:22" x14ac:dyDescent="0.3">
      <c r="A419" t="s">
        <v>430</v>
      </c>
      <c r="B419" s="4">
        <v>45766</v>
      </c>
      <c r="C419" t="s">
        <v>566</v>
      </c>
      <c r="D419" t="str">
        <f t="shared" si="54"/>
        <v>Lily Hall</v>
      </c>
      <c r="E419" t="s">
        <v>623</v>
      </c>
      <c r="F419" t="str">
        <f t="shared" si="55"/>
        <v>United States</v>
      </c>
      <c r="G419" t="s">
        <v>634</v>
      </c>
      <c r="H419" t="s">
        <v>641</v>
      </c>
      <c r="I419">
        <v>2</v>
      </c>
      <c r="J419" s="1">
        <v>59</v>
      </c>
      <c r="K419" s="1">
        <v>30</v>
      </c>
      <c r="L419" s="2">
        <v>0.15</v>
      </c>
      <c r="M419" t="s">
        <v>645</v>
      </c>
      <c r="N419" t="str">
        <f t="shared" si="56"/>
        <v>Bank Transfer</v>
      </c>
      <c r="O419" t="s">
        <v>651</v>
      </c>
      <c r="P419" t="str">
        <f t="shared" si="57"/>
        <v>Shipped</v>
      </c>
      <c r="Q419" t="str">
        <f t="shared" si="58"/>
        <v>Valid</v>
      </c>
      <c r="R419" t="s">
        <v>659</v>
      </c>
      <c r="S419">
        <f t="shared" si="59"/>
        <v>100.3</v>
      </c>
      <c r="T419">
        <f t="shared" si="60"/>
        <v>60</v>
      </c>
      <c r="U419">
        <f t="shared" si="61"/>
        <v>40.299999999999997</v>
      </c>
      <c r="V419" s="8">
        <f t="shared" si="62"/>
        <v>0.40179461615154533</v>
      </c>
    </row>
    <row r="420" spans="1:22" x14ac:dyDescent="0.3">
      <c r="A420" t="s">
        <v>431</v>
      </c>
      <c r="B420" s="4">
        <v>45716</v>
      </c>
      <c r="C420" t="s">
        <v>570</v>
      </c>
      <c r="D420" t="str">
        <f t="shared" si="54"/>
        <v>Grace Moore</v>
      </c>
      <c r="E420" t="s">
        <v>599</v>
      </c>
      <c r="F420" t="str">
        <f t="shared" si="55"/>
        <v>United Arab Emirates</v>
      </c>
      <c r="G420" t="s">
        <v>628</v>
      </c>
      <c r="H420" t="s">
        <v>639</v>
      </c>
      <c r="I420">
        <v>1</v>
      </c>
      <c r="J420" s="1">
        <v>18</v>
      </c>
      <c r="K420" s="1">
        <v>7</v>
      </c>
      <c r="L420" s="2">
        <v>0.05</v>
      </c>
      <c r="M420" t="s">
        <v>642</v>
      </c>
      <c r="N420" t="s">
        <v>644</v>
      </c>
      <c r="O420" t="s">
        <v>648</v>
      </c>
      <c r="P420" t="str">
        <f t="shared" si="57"/>
        <v>Completed</v>
      </c>
      <c r="Q420" t="str">
        <f t="shared" si="58"/>
        <v>Valid</v>
      </c>
      <c r="R420" t="s">
        <v>663</v>
      </c>
      <c r="S420">
        <f t="shared" si="59"/>
        <v>17.099999999999998</v>
      </c>
      <c r="T420">
        <f t="shared" si="60"/>
        <v>7</v>
      </c>
      <c r="U420">
        <f t="shared" si="61"/>
        <v>10.099999999999998</v>
      </c>
      <c r="V420" s="8">
        <f t="shared" si="62"/>
        <v>0.59064327485380108</v>
      </c>
    </row>
    <row r="421" spans="1:22" x14ac:dyDescent="0.3">
      <c r="A421" t="s">
        <v>432</v>
      </c>
      <c r="B421" s="4">
        <v>45715</v>
      </c>
      <c r="C421" t="s">
        <v>573</v>
      </c>
      <c r="D421" t="str">
        <f t="shared" si="54"/>
        <v>Noah Brown</v>
      </c>
      <c r="E421" t="s">
        <v>612</v>
      </c>
      <c r="F421" t="str">
        <f t="shared" si="55"/>
        <v>United Kingdom</v>
      </c>
      <c r="G421" t="s">
        <v>631</v>
      </c>
      <c r="H421" t="s">
        <v>641</v>
      </c>
      <c r="I421">
        <v>3</v>
      </c>
      <c r="J421" s="1">
        <v>85</v>
      </c>
      <c r="K421" s="1">
        <v>44</v>
      </c>
      <c r="L421" s="2">
        <v>0.15</v>
      </c>
      <c r="M421" t="s">
        <v>647</v>
      </c>
      <c r="N421" t="str">
        <f t="shared" si="56"/>
        <v>Credit Card</v>
      </c>
      <c r="O421" t="s">
        <v>650</v>
      </c>
      <c r="P421" t="str">
        <f t="shared" si="57"/>
        <v>Cancelled</v>
      </c>
      <c r="Q421" t="str">
        <f t="shared" si="58"/>
        <v>Valid</v>
      </c>
      <c r="R421" t="s">
        <v>667</v>
      </c>
      <c r="S421">
        <f t="shared" si="59"/>
        <v>216.75</v>
      </c>
      <c r="T421">
        <f t="shared" si="60"/>
        <v>132</v>
      </c>
      <c r="U421">
        <f t="shared" si="61"/>
        <v>84.75</v>
      </c>
      <c r="V421" s="8">
        <f t="shared" si="62"/>
        <v>0.39100346020761245</v>
      </c>
    </row>
    <row r="422" spans="1:22" x14ac:dyDescent="0.3">
      <c r="A422" t="s">
        <v>433</v>
      </c>
      <c r="B422" s="4">
        <v>46020</v>
      </c>
      <c r="C422" t="s">
        <v>569</v>
      </c>
      <c r="D422" t="str">
        <f t="shared" si="54"/>
        <v>Mia White</v>
      </c>
      <c r="E422" t="s">
        <v>604</v>
      </c>
      <c r="F422" t="str">
        <f t="shared" si="55"/>
        <v>United States</v>
      </c>
      <c r="G422" t="s">
        <v>630</v>
      </c>
      <c r="H422" t="s">
        <v>640</v>
      </c>
      <c r="I422">
        <v>3</v>
      </c>
      <c r="J422" s="1">
        <v>78</v>
      </c>
      <c r="K422" s="1">
        <v>45</v>
      </c>
      <c r="L422" s="2">
        <v>0.15</v>
      </c>
      <c r="M422" t="s">
        <v>642</v>
      </c>
      <c r="N422" t="s">
        <v>644</v>
      </c>
      <c r="O422" t="s">
        <v>650</v>
      </c>
      <c r="P422" t="str">
        <f t="shared" si="57"/>
        <v>Cancelled</v>
      </c>
      <c r="Q422" t="str">
        <f t="shared" si="58"/>
        <v>Valid</v>
      </c>
      <c r="R422" t="s">
        <v>662</v>
      </c>
      <c r="S422">
        <f t="shared" si="59"/>
        <v>198.9</v>
      </c>
      <c r="T422">
        <f t="shared" si="60"/>
        <v>135</v>
      </c>
      <c r="U422">
        <f t="shared" si="61"/>
        <v>63.900000000000006</v>
      </c>
      <c r="V422" s="8">
        <f t="shared" si="62"/>
        <v>0.32126696832579188</v>
      </c>
    </row>
    <row r="423" spans="1:22" x14ac:dyDescent="0.3">
      <c r="A423" t="s">
        <v>434</v>
      </c>
      <c r="B423" s="4">
        <v>45804</v>
      </c>
      <c r="C423" t="s">
        <v>575</v>
      </c>
      <c r="D423" t="str">
        <f t="shared" si="54"/>
        <v>Lucas Jackson</v>
      </c>
      <c r="E423" t="s">
        <v>617</v>
      </c>
      <c r="F423" t="str">
        <f t="shared" si="55"/>
        <v>Germany</v>
      </c>
      <c r="G423" t="s">
        <v>626</v>
      </c>
      <c r="H423" t="s">
        <v>638</v>
      </c>
      <c r="I423">
        <v>5</v>
      </c>
      <c r="J423" s="1">
        <v>36</v>
      </c>
      <c r="K423" s="1">
        <v>16</v>
      </c>
      <c r="L423" s="2">
        <v>0.15</v>
      </c>
      <c r="M423" t="s">
        <v>646</v>
      </c>
      <c r="N423" t="str">
        <f t="shared" si="56"/>
        <v>Debit Card</v>
      </c>
      <c r="O423" t="s">
        <v>648</v>
      </c>
      <c r="P423" t="str">
        <f t="shared" si="57"/>
        <v>Completed</v>
      </c>
      <c r="Q423" t="str">
        <f t="shared" si="58"/>
        <v>Valid</v>
      </c>
      <c r="R423" t="s">
        <v>668</v>
      </c>
      <c r="S423">
        <f t="shared" si="59"/>
        <v>153</v>
      </c>
      <c r="T423">
        <f t="shared" si="60"/>
        <v>80</v>
      </c>
      <c r="U423">
        <f t="shared" si="61"/>
        <v>73</v>
      </c>
      <c r="V423" s="8">
        <f t="shared" si="62"/>
        <v>0.47712418300653597</v>
      </c>
    </row>
    <row r="424" spans="1:22" x14ac:dyDescent="0.3">
      <c r="A424" t="s">
        <v>435</v>
      </c>
      <c r="B424" s="4">
        <v>45896</v>
      </c>
      <c r="C424" t="s">
        <v>563</v>
      </c>
      <c r="D424" t="str">
        <f t="shared" si="54"/>
        <v>Liam Miller</v>
      </c>
      <c r="E424" t="s">
        <v>603</v>
      </c>
      <c r="F424" t="str">
        <f t="shared" si="55"/>
        <v>Germany</v>
      </c>
      <c r="G424" t="s">
        <v>633</v>
      </c>
      <c r="H424" t="s">
        <v>638</v>
      </c>
      <c r="I424">
        <v>1</v>
      </c>
      <c r="J424" s="1">
        <v>210</v>
      </c>
      <c r="K424" s="1">
        <v>125</v>
      </c>
      <c r="L424" s="2">
        <v>0.2</v>
      </c>
      <c r="M424" t="s">
        <v>643</v>
      </c>
      <c r="N424" t="str">
        <f t="shared" si="56"/>
        <v>Credit Card</v>
      </c>
      <c r="O424" t="s">
        <v>648</v>
      </c>
      <c r="P424" t="str">
        <f t="shared" si="57"/>
        <v>Completed</v>
      </c>
      <c r="Q424" t="str">
        <f t="shared" si="58"/>
        <v>Valid</v>
      </c>
      <c r="R424" t="s">
        <v>656</v>
      </c>
      <c r="S424">
        <f t="shared" si="59"/>
        <v>168</v>
      </c>
      <c r="T424">
        <f t="shared" si="60"/>
        <v>125</v>
      </c>
      <c r="U424">
        <f t="shared" si="61"/>
        <v>43</v>
      </c>
      <c r="V424" s="8">
        <f t="shared" si="62"/>
        <v>0.25595238095238093</v>
      </c>
    </row>
    <row r="425" spans="1:22" x14ac:dyDescent="0.3">
      <c r="A425" t="s">
        <v>436</v>
      </c>
      <c r="B425" s="4">
        <v>45989</v>
      </c>
      <c r="C425" t="s">
        <v>571</v>
      </c>
      <c r="D425" t="str">
        <f t="shared" si="54"/>
        <v>Henry Clark</v>
      </c>
      <c r="F425" t="s">
        <v>717</v>
      </c>
      <c r="G425" t="s">
        <v>632</v>
      </c>
      <c r="H425" t="s">
        <v>639</v>
      </c>
      <c r="I425">
        <v>5</v>
      </c>
      <c r="J425" s="1">
        <v>42</v>
      </c>
      <c r="K425" s="1">
        <v>21</v>
      </c>
      <c r="L425" s="2">
        <v>0</v>
      </c>
      <c r="M425" t="s">
        <v>642</v>
      </c>
      <c r="N425" t="s">
        <v>644</v>
      </c>
      <c r="O425" t="s">
        <v>648</v>
      </c>
      <c r="P425" t="str">
        <f t="shared" si="57"/>
        <v>Completed</v>
      </c>
      <c r="Q425" t="str">
        <f t="shared" si="58"/>
        <v>Valid</v>
      </c>
      <c r="R425" t="s">
        <v>664</v>
      </c>
      <c r="S425">
        <f t="shared" si="59"/>
        <v>210</v>
      </c>
      <c r="T425">
        <f t="shared" si="60"/>
        <v>105</v>
      </c>
      <c r="U425">
        <f t="shared" si="61"/>
        <v>105</v>
      </c>
      <c r="V425" s="8">
        <f t="shared" si="62"/>
        <v>0.5</v>
      </c>
    </row>
    <row r="426" spans="1:22" x14ac:dyDescent="0.3">
      <c r="A426" t="s">
        <v>437</v>
      </c>
      <c r="B426" s="4">
        <v>45767</v>
      </c>
      <c r="C426" t="s">
        <v>584</v>
      </c>
      <c r="D426" t="str">
        <f t="shared" si="54"/>
        <v>James Thompson</v>
      </c>
      <c r="E426" t="s">
        <v>610</v>
      </c>
      <c r="F426" t="str">
        <f t="shared" si="55"/>
        <v>United Arab Emirates</v>
      </c>
      <c r="G426" t="s">
        <v>632</v>
      </c>
      <c r="H426" t="s">
        <v>639</v>
      </c>
      <c r="I426">
        <v>5</v>
      </c>
      <c r="J426" s="1">
        <v>42</v>
      </c>
      <c r="K426" s="1">
        <v>21</v>
      </c>
      <c r="L426" s="2">
        <v>0</v>
      </c>
      <c r="M426" t="s">
        <v>645</v>
      </c>
      <c r="N426" t="str">
        <f t="shared" si="56"/>
        <v>Bank Transfer</v>
      </c>
      <c r="O426" t="s">
        <v>650</v>
      </c>
      <c r="P426" t="str">
        <f t="shared" si="57"/>
        <v>Cancelled</v>
      </c>
      <c r="Q426" t="str">
        <f t="shared" si="58"/>
        <v>Valid</v>
      </c>
      <c r="R426" t="s">
        <v>675</v>
      </c>
      <c r="S426">
        <f t="shared" si="59"/>
        <v>210</v>
      </c>
      <c r="T426">
        <f t="shared" si="60"/>
        <v>105</v>
      </c>
      <c r="U426">
        <f t="shared" si="61"/>
        <v>105</v>
      </c>
      <c r="V426" s="8">
        <f t="shared" si="62"/>
        <v>0.5</v>
      </c>
    </row>
    <row r="427" spans="1:22" x14ac:dyDescent="0.3">
      <c r="A427" t="s">
        <v>438</v>
      </c>
      <c r="B427" s="4">
        <v>45913</v>
      </c>
      <c r="C427" t="s">
        <v>584</v>
      </c>
      <c r="D427" t="str">
        <f t="shared" si="54"/>
        <v>James Thompson</v>
      </c>
      <c r="E427" t="s">
        <v>618</v>
      </c>
      <c r="F427" t="str">
        <f t="shared" si="55"/>
        <v>United Kingdom</v>
      </c>
      <c r="G427" t="s">
        <v>635</v>
      </c>
      <c r="H427" t="s">
        <v>639</v>
      </c>
      <c r="I427">
        <v>3</v>
      </c>
      <c r="J427" s="1">
        <v>65</v>
      </c>
      <c r="K427" s="1">
        <v>31</v>
      </c>
      <c r="L427" s="2">
        <v>0.05</v>
      </c>
      <c r="M427" t="s">
        <v>645</v>
      </c>
      <c r="N427" t="str">
        <f t="shared" si="56"/>
        <v>Bank Transfer</v>
      </c>
      <c r="O427" t="s">
        <v>650</v>
      </c>
      <c r="P427" t="str">
        <f t="shared" si="57"/>
        <v>Cancelled</v>
      </c>
      <c r="Q427" t="str">
        <f t="shared" si="58"/>
        <v>Valid</v>
      </c>
      <c r="R427" t="s">
        <v>675</v>
      </c>
      <c r="S427">
        <f t="shared" si="59"/>
        <v>185.25</v>
      </c>
      <c r="T427">
        <f t="shared" si="60"/>
        <v>93</v>
      </c>
      <c r="U427">
        <f t="shared" si="61"/>
        <v>92.25</v>
      </c>
      <c r="V427" s="8">
        <f t="shared" si="62"/>
        <v>0.49797570850202427</v>
      </c>
    </row>
    <row r="428" spans="1:22" x14ac:dyDescent="0.3">
      <c r="A428" t="s">
        <v>439</v>
      </c>
      <c r="B428" s="4">
        <v>45785</v>
      </c>
      <c r="C428" t="s">
        <v>564</v>
      </c>
      <c r="D428" t="str">
        <f t="shared" si="54"/>
        <v>Ava Thomas</v>
      </c>
      <c r="E428" t="s">
        <v>604</v>
      </c>
      <c r="F428" t="str">
        <f t="shared" si="55"/>
        <v>United States</v>
      </c>
      <c r="G428" t="s">
        <v>627</v>
      </c>
      <c r="H428" t="s">
        <v>639</v>
      </c>
      <c r="I428">
        <v>5</v>
      </c>
      <c r="J428" s="1">
        <v>38</v>
      </c>
      <c r="K428" s="1">
        <v>17</v>
      </c>
      <c r="L428" s="2">
        <v>0</v>
      </c>
      <c r="M428" t="s">
        <v>646</v>
      </c>
      <c r="N428" t="str">
        <f t="shared" si="56"/>
        <v>Debit Card</v>
      </c>
      <c r="O428" t="s">
        <v>648</v>
      </c>
      <c r="P428" t="str">
        <f t="shared" si="57"/>
        <v>Completed</v>
      </c>
      <c r="Q428" t="str">
        <f t="shared" si="58"/>
        <v>Valid</v>
      </c>
      <c r="R428" t="s">
        <v>657</v>
      </c>
      <c r="S428">
        <f t="shared" si="59"/>
        <v>190</v>
      </c>
      <c r="T428">
        <f t="shared" si="60"/>
        <v>85</v>
      </c>
      <c r="U428">
        <f t="shared" si="61"/>
        <v>105</v>
      </c>
      <c r="V428" s="8">
        <f t="shared" si="62"/>
        <v>0.55263157894736847</v>
      </c>
    </row>
    <row r="429" spans="1:22" x14ac:dyDescent="0.3">
      <c r="A429" t="s">
        <v>440</v>
      </c>
      <c r="B429" s="4">
        <v>45798</v>
      </c>
      <c r="C429" t="s">
        <v>584</v>
      </c>
      <c r="D429" t="str">
        <f t="shared" si="54"/>
        <v>James Thompson</v>
      </c>
      <c r="E429" t="s">
        <v>622</v>
      </c>
      <c r="F429" t="str">
        <f t="shared" si="55"/>
        <v>United Arab Emirates</v>
      </c>
      <c r="G429" t="s">
        <v>637</v>
      </c>
      <c r="H429" t="s">
        <v>641</v>
      </c>
      <c r="I429">
        <v>1</v>
      </c>
      <c r="J429" s="1">
        <v>175</v>
      </c>
      <c r="K429" s="1">
        <v>105</v>
      </c>
      <c r="L429" s="2">
        <v>0</v>
      </c>
      <c r="M429" t="s">
        <v>642</v>
      </c>
      <c r="N429" t="s">
        <v>644</v>
      </c>
      <c r="O429" t="s">
        <v>649</v>
      </c>
      <c r="P429" t="str">
        <f t="shared" si="57"/>
        <v>Pending</v>
      </c>
      <c r="Q429" t="str">
        <f t="shared" si="58"/>
        <v>Valid</v>
      </c>
      <c r="R429" t="s">
        <v>675</v>
      </c>
      <c r="S429">
        <f t="shared" si="59"/>
        <v>175</v>
      </c>
      <c r="T429">
        <f t="shared" si="60"/>
        <v>105</v>
      </c>
      <c r="U429">
        <f t="shared" si="61"/>
        <v>70</v>
      </c>
      <c r="V429" s="8">
        <f t="shared" si="62"/>
        <v>0.4</v>
      </c>
    </row>
    <row r="430" spans="1:22" x14ac:dyDescent="0.3">
      <c r="A430" t="s">
        <v>441</v>
      </c>
      <c r="B430" s="4">
        <v>45818</v>
      </c>
      <c r="C430" t="s">
        <v>578</v>
      </c>
      <c r="D430" t="str">
        <f t="shared" si="54"/>
        <v>Ella Martin</v>
      </c>
      <c r="E430" t="s">
        <v>607</v>
      </c>
      <c r="F430" t="str">
        <f t="shared" si="55"/>
        <v>Germany</v>
      </c>
      <c r="G430" t="s">
        <v>630</v>
      </c>
      <c r="H430" t="s">
        <v>640</v>
      </c>
      <c r="I430">
        <v>1</v>
      </c>
      <c r="J430" s="1">
        <v>78</v>
      </c>
      <c r="K430" s="1">
        <v>45</v>
      </c>
      <c r="L430" s="2">
        <v>0.05</v>
      </c>
      <c r="M430" t="s">
        <v>643</v>
      </c>
      <c r="N430" t="str">
        <f t="shared" si="56"/>
        <v>Credit Card</v>
      </c>
      <c r="O430" t="s">
        <v>648</v>
      </c>
      <c r="P430" t="str">
        <f t="shared" si="57"/>
        <v>Completed</v>
      </c>
      <c r="Q430" t="str">
        <f t="shared" si="58"/>
        <v>Valid</v>
      </c>
      <c r="R430" t="s">
        <v>671</v>
      </c>
      <c r="S430">
        <f t="shared" si="59"/>
        <v>74.099999999999994</v>
      </c>
      <c r="T430">
        <f t="shared" si="60"/>
        <v>45</v>
      </c>
      <c r="U430">
        <f t="shared" si="61"/>
        <v>29.099999999999994</v>
      </c>
      <c r="V430" s="8">
        <f t="shared" si="62"/>
        <v>0.39271255060728738</v>
      </c>
    </row>
    <row r="431" spans="1:22" x14ac:dyDescent="0.3">
      <c r="A431" t="s">
        <v>442</v>
      </c>
      <c r="B431" s="4">
        <v>45943</v>
      </c>
      <c r="C431" t="s">
        <v>578</v>
      </c>
      <c r="D431" t="str">
        <f t="shared" si="54"/>
        <v>Ella Martin</v>
      </c>
      <c r="E431" t="s">
        <v>603</v>
      </c>
      <c r="F431" t="str">
        <f t="shared" si="55"/>
        <v>Germany</v>
      </c>
      <c r="G431" t="s">
        <v>630</v>
      </c>
      <c r="H431" t="s">
        <v>640</v>
      </c>
      <c r="I431">
        <v>1</v>
      </c>
      <c r="J431" s="1">
        <v>78</v>
      </c>
      <c r="K431" s="1">
        <v>45</v>
      </c>
      <c r="L431" s="2">
        <v>0</v>
      </c>
      <c r="M431" t="s">
        <v>645</v>
      </c>
      <c r="N431" t="str">
        <f t="shared" si="56"/>
        <v>Bank Transfer</v>
      </c>
      <c r="O431" t="s">
        <v>649</v>
      </c>
      <c r="P431" t="str">
        <f t="shared" si="57"/>
        <v>Pending</v>
      </c>
      <c r="Q431" t="str">
        <f t="shared" si="58"/>
        <v>Valid</v>
      </c>
      <c r="R431" t="s">
        <v>671</v>
      </c>
      <c r="S431">
        <f t="shared" si="59"/>
        <v>78</v>
      </c>
      <c r="T431">
        <f t="shared" si="60"/>
        <v>45</v>
      </c>
      <c r="U431">
        <f t="shared" si="61"/>
        <v>33</v>
      </c>
      <c r="V431" s="8">
        <f t="shared" si="62"/>
        <v>0.42307692307692307</v>
      </c>
    </row>
    <row r="432" spans="1:22" x14ac:dyDescent="0.3">
      <c r="A432" t="s">
        <v>443</v>
      </c>
      <c r="B432" s="4">
        <v>45893</v>
      </c>
      <c r="C432" t="s">
        <v>573</v>
      </c>
      <c r="D432" t="str">
        <f t="shared" si="54"/>
        <v>Noah Brown</v>
      </c>
      <c r="E432" t="s">
        <v>613</v>
      </c>
      <c r="F432" t="str">
        <f t="shared" si="55"/>
        <v>Singapore</v>
      </c>
      <c r="G432" t="s">
        <v>635</v>
      </c>
      <c r="H432" t="s">
        <v>639</v>
      </c>
      <c r="I432">
        <v>4</v>
      </c>
      <c r="J432" s="1">
        <v>65</v>
      </c>
      <c r="K432" s="1">
        <v>31</v>
      </c>
      <c r="L432" s="2">
        <v>0.1</v>
      </c>
      <c r="M432" t="s">
        <v>643</v>
      </c>
      <c r="N432" t="str">
        <f t="shared" si="56"/>
        <v>Credit Card</v>
      </c>
      <c r="O432" t="s">
        <v>651</v>
      </c>
      <c r="P432" t="str">
        <f t="shared" si="57"/>
        <v>Shipped</v>
      </c>
      <c r="Q432" t="str">
        <f t="shared" si="58"/>
        <v>Valid</v>
      </c>
      <c r="R432" t="s">
        <v>667</v>
      </c>
      <c r="S432">
        <f t="shared" si="59"/>
        <v>234</v>
      </c>
      <c r="T432">
        <f t="shared" si="60"/>
        <v>124</v>
      </c>
      <c r="U432">
        <f t="shared" si="61"/>
        <v>110</v>
      </c>
      <c r="V432" s="8">
        <f t="shared" si="62"/>
        <v>0.47008547008547008</v>
      </c>
    </row>
    <row r="433" spans="1:22" x14ac:dyDescent="0.3">
      <c r="A433" t="s">
        <v>444</v>
      </c>
      <c r="B433" s="4">
        <v>46000</v>
      </c>
      <c r="C433" t="s">
        <v>582</v>
      </c>
      <c r="D433" t="str">
        <f t="shared" si="54"/>
        <v>Alex Morgan</v>
      </c>
      <c r="E433" t="s">
        <v>614</v>
      </c>
      <c r="F433" t="str">
        <f t="shared" si="55"/>
        <v>Australia</v>
      </c>
      <c r="G433" t="s">
        <v>634</v>
      </c>
      <c r="H433" t="s">
        <v>641</v>
      </c>
      <c r="I433">
        <v>3</v>
      </c>
      <c r="J433" s="1">
        <v>59</v>
      </c>
      <c r="K433" s="1">
        <v>30</v>
      </c>
      <c r="L433" s="2">
        <v>0</v>
      </c>
      <c r="M433" t="s">
        <v>642</v>
      </c>
      <c r="N433" t="s">
        <v>644</v>
      </c>
      <c r="O433" t="s">
        <v>648</v>
      </c>
      <c r="P433" t="str">
        <f t="shared" si="57"/>
        <v>Completed</v>
      </c>
      <c r="Q433" t="str">
        <f t="shared" si="58"/>
        <v>Valid</v>
      </c>
      <c r="R433" t="s">
        <v>658</v>
      </c>
      <c r="S433">
        <f t="shared" si="59"/>
        <v>177</v>
      </c>
      <c r="T433">
        <f t="shared" si="60"/>
        <v>90</v>
      </c>
      <c r="U433">
        <f t="shared" si="61"/>
        <v>87</v>
      </c>
      <c r="V433" s="8">
        <f t="shared" si="62"/>
        <v>0.49152542372881358</v>
      </c>
    </row>
    <row r="434" spans="1:22" x14ac:dyDescent="0.3">
      <c r="A434" t="s">
        <v>445</v>
      </c>
      <c r="B434" s="4">
        <v>45921</v>
      </c>
      <c r="C434" t="s">
        <v>583</v>
      </c>
      <c r="D434" t="str">
        <f t="shared" si="54"/>
        <v>Ethan Anderson</v>
      </c>
      <c r="E434" t="s">
        <v>608</v>
      </c>
      <c r="F434" t="str">
        <f t="shared" si="55"/>
        <v>India</v>
      </c>
      <c r="G434" t="s">
        <v>631</v>
      </c>
      <c r="H434" t="s">
        <v>641</v>
      </c>
      <c r="I434">
        <v>3</v>
      </c>
      <c r="J434" s="1">
        <v>85</v>
      </c>
      <c r="K434" s="1">
        <v>44</v>
      </c>
      <c r="L434" s="2">
        <v>0</v>
      </c>
      <c r="M434" t="s">
        <v>645</v>
      </c>
      <c r="N434" t="str">
        <f t="shared" si="56"/>
        <v>Bank Transfer</v>
      </c>
      <c r="O434" t="s">
        <v>651</v>
      </c>
      <c r="P434" t="str">
        <f t="shared" si="57"/>
        <v>Shipped</v>
      </c>
      <c r="Q434" t="str">
        <f t="shared" si="58"/>
        <v>Valid</v>
      </c>
      <c r="R434" t="s">
        <v>673</v>
      </c>
      <c r="S434">
        <f t="shared" si="59"/>
        <v>255</v>
      </c>
      <c r="T434">
        <f t="shared" si="60"/>
        <v>132</v>
      </c>
      <c r="U434">
        <f t="shared" si="61"/>
        <v>123</v>
      </c>
      <c r="V434" s="8">
        <f t="shared" si="62"/>
        <v>0.4823529411764706</v>
      </c>
    </row>
    <row r="435" spans="1:22" x14ac:dyDescent="0.3">
      <c r="A435" t="s">
        <v>446</v>
      </c>
      <c r="B435" s="4">
        <v>45880</v>
      </c>
      <c r="C435" t="s">
        <v>580</v>
      </c>
      <c r="D435" t="str">
        <f t="shared" si="54"/>
        <v>Benjamin Walker</v>
      </c>
      <c r="E435" t="s">
        <v>608</v>
      </c>
      <c r="F435" t="str">
        <f t="shared" si="55"/>
        <v>India</v>
      </c>
      <c r="G435" t="s">
        <v>636</v>
      </c>
      <c r="H435" t="s">
        <v>641</v>
      </c>
      <c r="I435">
        <v>3</v>
      </c>
      <c r="J435" s="1">
        <v>245</v>
      </c>
      <c r="K435" s="1">
        <v>150</v>
      </c>
      <c r="L435" s="2">
        <v>0</v>
      </c>
      <c r="N435" t="s">
        <v>717</v>
      </c>
      <c r="O435" t="s">
        <v>648</v>
      </c>
      <c r="P435" t="str">
        <f t="shared" si="57"/>
        <v>Completed</v>
      </c>
      <c r="Q435" t="str">
        <f t="shared" si="58"/>
        <v>Valid</v>
      </c>
      <c r="R435" t="s">
        <v>672</v>
      </c>
      <c r="S435">
        <f t="shared" si="59"/>
        <v>735</v>
      </c>
      <c r="T435">
        <f t="shared" si="60"/>
        <v>450</v>
      </c>
      <c r="U435">
        <f t="shared" si="61"/>
        <v>285</v>
      </c>
      <c r="V435" s="8">
        <f t="shared" si="62"/>
        <v>0.38775510204081631</v>
      </c>
    </row>
    <row r="436" spans="1:22" x14ac:dyDescent="0.3">
      <c r="A436" t="s">
        <v>447</v>
      </c>
      <c r="B436" s="4">
        <v>45703</v>
      </c>
      <c r="C436" t="s">
        <v>571</v>
      </c>
      <c r="D436" t="str">
        <f t="shared" si="54"/>
        <v>Henry Clark</v>
      </c>
      <c r="E436" t="s">
        <v>610</v>
      </c>
      <c r="F436" t="str">
        <f t="shared" si="55"/>
        <v>United Arab Emirates</v>
      </c>
      <c r="G436" t="s">
        <v>631</v>
      </c>
      <c r="H436" t="s">
        <v>641</v>
      </c>
      <c r="I436">
        <v>2</v>
      </c>
      <c r="J436" s="1">
        <v>85</v>
      </c>
      <c r="K436" s="1">
        <v>44</v>
      </c>
      <c r="L436" s="2">
        <v>0.05</v>
      </c>
      <c r="M436" t="s">
        <v>643</v>
      </c>
      <c r="N436" t="str">
        <f t="shared" si="56"/>
        <v>Credit Card</v>
      </c>
      <c r="O436" t="s">
        <v>650</v>
      </c>
      <c r="P436" t="str">
        <f t="shared" si="57"/>
        <v>Cancelled</v>
      </c>
      <c r="Q436" t="str">
        <f t="shared" si="58"/>
        <v>Valid</v>
      </c>
      <c r="R436" t="s">
        <v>664</v>
      </c>
      <c r="S436">
        <f t="shared" si="59"/>
        <v>161.5</v>
      </c>
      <c r="T436">
        <f t="shared" si="60"/>
        <v>88</v>
      </c>
      <c r="U436">
        <f t="shared" si="61"/>
        <v>73.5</v>
      </c>
      <c r="V436" s="8">
        <f t="shared" si="62"/>
        <v>0.45510835913312692</v>
      </c>
    </row>
    <row r="437" spans="1:22" x14ac:dyDescent="0.3">
      <c r="A437" t="s">
        <v>448</v>
      </c>
      <c r="B437" s="4">
        <v>45958</v>
      </c>
      <c r="C437" t="s">
        <v>584</v>
      </c>
      <c r="D437" t="str">
        <f t="shared" si="54"/>
        <v>James Thompson</v>
      </c>
      <c r="E437" t="s">
        <v>624</v>
      </c>
      <c r="F437" t="str">
        <f t="shared" si="55"/>
        <v>United Arab Emirates</v>
      </c>
      <c r="G437" t="s">
        <v>636</v>
      </c>
      <c r="H437" t="s">
        <v>641</v>
      </c>
      <c r="I437">
        <v>4</v>
      </c>
      <c r="J437" s="1">
        <v>245</v>
      </c>
      <c r="K437" s="1">
        <v>150</v>
      </c>
      <c r="L437" s="2">
        <v>0.1</v>
      </c>
      <c r="M437" t="s">
        <v>647</v>
      </c>
      <c r="N437" t="str">
        <f t="shared" si="56"/>
        <v>Credit Card</v>
      </c>
      <c r="O437" t="s">
        <v>651</v>
      </c>
      <c r="P437" t="str">
        <f t="shared" si="57"/>
        <v>Shipped</v>
      </c>
      <c r="Q437" t="str">
        <f t="shared" si="58"/>
        <v>Valid</v>
      </c>
      <c r="R437" t="s">
        <v>675</v>
      </c>
      <c r="S437">
        <f t="shared" si="59"/>
        <v>882</v>
      </c>
      <c r="T437">
        <f t="shared" si="60"/>
        <v>600</v>
      </c>
      <c r="U437">
        <f t="shared" si="61"/>
        <v>282</v>
      </c>
      <c r="V437" s="8">
        <f t="shared" si="62"/>
        <v>0.31972789115646261</v>
      </c>
    </row>
    <row r="438" spans="1:22" x14ac:dyDescent="0.3">
      <c r="A438" t="s">
        <v>449</v>
      </c>
      <c r="B438" s="4">
        <v>45769</v>
      </c>
      <c r="C438" t="s">
        <v>567</v>
      </c>
      <c r="D438" t="str">
        <f t="shared" si="54"/>
        <v>Sophia Taylor</v>
      </c>
      <c r="E438" t="s">
        <v>607</v>
      </c>
      <c r="F438" t="str">
        <f t="shared" si="55"/>
        <v>Germany</v>
      </c>
      <c r="G438" t="s">
        <v>631</v>
      </c>
      <c r="H438" t="s">
        <v>641</v>
      </c>
      <c r="I438">
        <v>1</v>
      </c>
      <c r="J438" s="1">
        <v>85</v>
      </c>
      <c r="K438" s="1">
        <v>44</v>
      </c>
      <c r="L438" s="2">
        <v>0</v>
      </c>
      <c r="M438" t="s">
        <v>642</v>
      </c>
      <c r="N438" t="s">
        <v>644</v>
      </c>
      <c r="O438" t="s">
        <v>651</v>
      </c>
      <c r="P438" t="str">
        <f t="shared" si="57"/>
        <v>Shipped</v>
      </c>
      <c r="Q438" t="str">
        <f t="shared" si="58"/>
        <v>Valid</v>
      </c>
      <c r="R438" t="s">
        <v>660</v>
      </c>
      <c r="S438">
        <f t="shared" si="59"/>
        <v>85</v>
      </c>
      <c r="T438">
        <f t="shared" si="60"/>
        <v>44</v>
      </c>
      <c r="U438">
        <f t="shared" si="61"/>
        <v>41</v>
      </c>
      <c r="V438" s="8">
        <f t="shared" si="62"/>
        <v>0.4823529411764706</v>
      </c>
    </row>
    <row r="439" spans="1:22" x14ac:dyDescent="0.3">
      <c r="A439" t="s">
        <v>450</v>
      </c>
      <c r="B439" s="4">
        <v>45747</v>
      </c>
      <c r="C439" t="s">
        <v>586</v>
      </c>
      <c r="D439" t="str">
        <f t="shared" si="54"/>
        <v>Ella Martin</v>
      </c>
      <c r="E439" t="s">
        <v>618</v>
      </c>
      <c r="F439" t="str">
        <f t="shared" si="55"/>
        <v>United Kingdom</v>
      </c>
      <c r="G439" t="s">
        <v>635</v>
      </c>
      <c r="H439" t="s">
        <v>639</v>
      </c>
      <c r="I439">
        <v>4</v>
      </c>
      <c r="J439" s="1">
        <v>65</v>
      </c>
      <c r="K439" s="1">
        <v>31</v>
      </c>
      <c r="L439" s="2">
        <v>0.05</v>
      </c>
      <c r="M439" t="s">
        <v>643</v>
      </c>
      <c r="N439" t="str">
        <f t="shared" si="56"/>
        <v>Credit Card</v>
      </c>
      <c r="O439" t="s">
        <v>648</v>
      </c>
      <c r="P439" t="str">
        <f t="shared" si="57"/>
        <v>Completed</v>
      </c>
      <c r="Q439" t="str">
        <f t="shared" si="58"/>
        <v>Valid</v>
      </c>
      <c r="R439" t="s">
        <v>671</v>
      </c>
      <c r="S439">
        <f t="shared" si="59"/>
        <v>247</v>
      </c>
      <c r="T439">
        <f t="shared" si="60"/>
        <v>124</v>
      </c>
      <c r="U439">
        <f t="shared" si="61"/>
        <v>123</v>
      </c>
      <c r="V439" s="8">
        <f t="shared" si="62"/>
        <v>0.49797570850202427</v>
      </c>
    </row>
    <row r="440" spans="1:22" x14ac:dyDescent="0.3">
      <c r="A440" t="s">
        <v>451</v>
      </c>
      <c r="B440" s="4">
        <v>45664</v>
      </c>
      <c r="C440" t="s">
        <v>568</v>
      </c>
      <c r="D440" t="str">
        <f t="shared" si="54"/>
        <v>Daniel Harris</v>
      </c>
      <c r="E440" t="s">
        <v>604</v>
      </c>
      <c r="F440" t="str">
        <f t="shared" si="55"/>
        <v>United States</v>
      </c>
      <c r="G440" t="s">
        <v>631</v>
      </c>
      <c r="H440" t="s">
        <v>641</v>
      </c>
      <c r="I440">
        <v>4</v>
      </c>
      <c r="J440" s="1">
        <v>85</v>
      </c>
      <c r="K440" s="1">
        <v>44</v>
      </c>
      <c r="L440" s="2">
        <v>0.1</v>
      </c>
      <c r="M440" t="s">
        <v>644</v>
      </c>
      <c r="N440" t="s">
        <v>644</v>
      </c>
      <c r="O440" t="s">
        <v>649</v>
      </c>
      <c r="P440" t="str">
        <f t="shared" si="57"/>
        <v>Pending</v>
      </c>
      <c r="Q440" t="str">
        <f t="shared" si="58"/>
        <v>Valid</v>
      </c>
      <c r="R440" t="s">
        <v>666</v>
      </c>
      <c r="S440">
        <f t="shared" si="59"/>
        <v>306</v>
      </c>
      <c r="T440">
        <f t="shared" si="60"/>
        <v>176</v>
      </c>
      <c r="U440">
        <f t="shared" si="61"/>
        <v>130</v>
      </c>
      <c r="V440" s="8">
        <f t="shared" si="62"/>
        <v>0.42483660130718953</v>
      </c>
    </row>
    <row r="441" spans="1:22" x14ac:dyDescent="0.3">
      <c r="A441" t="s">
        <v>452</v>
      </c>
      <c r="B441" s="4">
        <v>45982</v>
      </c>
      <c r="C441" t="s">
        <v>575</v>
      </c>
      <c r="D441" t="str">
        <f t="shared" si="54"/>
        <v>Lucas Jackson</v>
      </c>
      <c r="E441" t="s">
        <v>605</v>
      </c>
      <c r="F441" t="str">
        <f t="shared" si="55"/>
        <v>Singapore</v>
      </c>
      <c r="G441" t="s">
        <v>631</v>
      </c>
      <c r="H441" t="s">
        <v>641</v>
      </c>
      <c r="I441">
        <v>4</v>
      </c>
      <c r="J441" s="1">
        <v>85</v>
      </c>
      <c r="K441" s="1">
        <v>44</v>
      </c>
      <c r="L441" s="2">
        <v>0.05</v>
      </c>
      <c r="M441" t="s">
        <v>646</v>
      </c>
      <c r="N441" t="str">
        <f t="shared" si="56"/>
        <v>Debit Card</v>
      </c>
      <c r="O441" t="s">
        <v>648</v>
      </c>
      <c r="P441" t="str">
        <f t="shared" si="57"/>
        <v>Completed</v>
      </c>
      <c r="Q441" t="str">
        <f t="shared" si="58"/>
        <v>Valid</v>
      </c>
      <c r="R441" t="s">
        <v>668</v>
      </c>
      <c r="S441">
        <f t="shared" si="59"/>
        <v>323</v>
      </c>
      <c r="T441">
        <f t="shared" si="60"/>
        <v>176</v>
      </c>
      <c r="U441">
        <f t="shared" si="61"/>
        <v>147</v>
      </c>
      <c r="V441" s="8">
        <f t="shared" si="62"/>
        <v>0.45510835913312692</v>
      </c>
    </row>
    <row r="442" spans="1:22" x14ac:dyDescent="0.3">
      <c r="A442" t="s">
        <v>453</v>
      </c>
      <c r="B442" s="4">
        <v>45920</v>
      </c>
      <c r="C442" t="s">
        <v>571</v>
      </c>
      <c r="D442" t="str">
        <f t="shared" si="54"/>
        <v>Henry Clark</v>
      </c>
      <c r="E442" t="s">
        <v>601</v>
      </c>
      <c r="F442" t="str">
        <f t="shared" si="55"/>
        <v>United Kingdom</v>
      </c>
      <c r="G442" t="s">
        <v>635</v>
      </c>
      <c r="H442" t="s">
        <v>639</v>
      </c>
      <c r="I442">
        <v>3</v>
      </c>
      <c r="J442" s="1">
        <v>65</v>
      </c>
      <c r="K442" s="1">
        <v>31</v>
      </c>
      <c r="L442" s="2">
        <v>0.05</v>
      </c>
      <c r="M442" t="s">
        <v>646</v>
      </c>
      <c r="N442" t="str">
        <f t="shared" si="56"/>
        <v>Debit Card</v>
      </c>
      <c r="O442" t="s">
        <v>649</v>
      </c>
      <c r="P442" t="str">
        <f t="shared" si="57"/>
        <v>Pending</v>
      </c>
      <c r="Q442" t="str">
        <f t="shared" si="58"/>
        <v>Valid</v>
      </c>
      <c r="R442" t="s">
        <v>664</v>
      </c>
      <c r="S442">
        <f t="shared" si="59"/>
        <v>185.25</v>
      </c>
      <c r="T442">
        <f t="shared" si="60"/>
        <v>93</v>
      </c>
      <c r="U442">
        <f t="shared" si="61"/>
        <v>92.25</v>
      </c>
      <c r="V442" s="8">
        <f t="shared" si="62"/>
        <v>0.49797570850202427</v>
      </c>
    </row>
    <row r="443" spans="1:22" x14ac:dyDescent="0.3">
      <c r="A443" t="s">
        <v>454</v>
      </c>
      <c r="B443" s="4">
        <v>45696</v>
      </c>
      <c r="C443" t="s">
        <v>569</v>
      </c>
      <c r="D443" t="str">
        <f t="shared" si="54"/>
        <v>Mia White</v>
      </c>
      <c r="E443" t="s">
        <v>607</v>
      </c>
      <c r="F443" t="str">
        <f t="shared" si="55"/>
        <v>Germany</v>
      </c>
      <c r="G443" t="s">
        <v>632</v>
      </c>
      <c r="H443" t="s">
        <v>639</v>
      </c>
      <c r="I443">
        <v>4</v>
      </c>
      <c r="J443" s="1">
        <v>42</v>
      </c>
      <c r="K443" s="1">
        <v>21</v>
      </c>
      <c r="L443" s="2">
        <v>0.05</v>
      </c>
      <c r="M443" t="s">
        <v>645</v>
      </c>
      <c r="N443" t="str">
        <f t="shared" si="56"/>
        <v>Bank Transfer</v>
      </c>
      <c r="O443" t="s">
        <v>649</v>
      </c>
      <c r="P443" t="str">
        <f t="shared" si="57"/>
        <v>Pending</v>
      </c>
      <c r="Q443" t="str">
        <f t="shared" si="58"/>
        <v>Valid</v>
      </c>
      <c r="R443" t="s">
        <v>662</v>
      </c>
      <c r="S443">
        <f t="shared" si="59"/>
        <v>159.6</v>
      </c>
      <c r="T443">
        <f t="shared" si="60"/>
        <v>84</v>
      </c>
      <c r="U443">
        <f t="shared" si="61"/>
        <v>75.599999999999994</v>
      </c>
      <c r="V443" s="8">
        <f t="shared" si="62"/>
        <v>0.47368421052631576</v>
      </c>
    </row>
    <row r="444" spans="1:22" x14ac:dyDescent="0.3">
      <c r="A444" t="s">
        <v>455</v>
      </c>
      <c r="B444" s="4">
        <v>46018</v>
      </c>
      <c r="C444" t="s">
        <v>566</v>
      </c>
      <c r="D444" t="str">
        <f t="shared" si="54"/>
        <v>Lily Hall</v>
      </c>
      <c r="E444" t="s">
        <v>610</v>
      </c>
      <c r="F444" t="str">
        <f t="shared" si="55"/>
        <v>United Arab Emirates</v>
      </c>
      <c r="G444" t="s">
        <v>637</v>
      </c>
      <c r="H444" t="s">
        <v>641</v>
      </c>
      <c r="I444">
        <v>3</v>
      </c>
      <c r="J444" s="1">
        <v>175</v>
      </c>
      <c r="K444" s="1">
        <v>105</v>
      </c>
      <c r="L444" s="2">
        <v>0.1</v>
      </c>
      <c r="M444" t="s">
        <v>644</v>
      </c>
      <c r="N444" t="s">
        <v>644</v>
      </c>
      <c r="O444" t="s">
        <v>648</v>
      </c>
      <c r="P444" t="str">
        <f t="shared" si="57"/>
        <v>Completed</v>
      </c>
      <c r="Q444" t="str">
        <f t="shared" si="58"/>
        <v>Valid</v>
      </c>
      <c r="R444" t="s">
        <v>659</v>
      </c>
      <c r="S444">
        <f t="shared" si="59"/>
        <v>472.5</v>
      </c>
      <c r="T444">
        <f t="shared" si="60"/>
        <v>315</v>
      </c>
      <c r="U444">
        <f t="shared" si="61"/>
        <v>157.5</v>
      </c>
      <c r="V444" s="8">
        <f t="shared" si="62"/>
        <v>0.33333333333333331</v>
      </c>
    </row>
    <row r="445" spans="1:22" x14ac:dyDescent="0.3">
      <c r="A445" t="s">
        <v>456</v>
      </c>
      <c r="B445" s="4">
        <v>46022</v>
      </c>
      <c r="C445" t="s">
        <v>583</v>
      </c>
      <c r="D445" t="str">
        <f t="shared" si="54"/>
        <v>Ethan Anderson</v>
      </c>
      <c r="E445" t="s">
        <v>600</v>
      </c>
      <c r="F445" t="str">
        <f t="shared" si="55"/>
        <v>Australia</v>
      </c>
      <c r="G445" t="s">
        <v>634</v>
      </c>
      <c r="H445" t="s">
        <v>641</v>
      </c>
      <c r="I445">
        <v>4</v>
      </c>
      <c r="J445" s="1">
        <v>59</v>
      </c>
      <c r="K445" s="1">
        <v>30</v>
      </c>
      <c r="L445" s="2">
        <v>0.2</v>
      </c>
      <c r="M445" t="s">
        <v>642</v>
      </c>
      <c r="N445" t="s">
        <v>644</v>
      </c>
      <c r="O445" t="s">
        <v>651</v>
      </c>
      <c r="P445" t="str">
        <f t="shared" si="57"/>
        <v>Shipped</v>
      </c>
      <c r="Q445" t="str">
        <f t="shared" si="58"/>
        <v>Valid</v>
      </c>
      <c r="R445" t="s">
        <v>673</v>
      </c>
      <c r="S445">
        <f t="shared" si="59"/>
        <v>188.8</v>
      </c>
      <c r="T445">
        <f t="shared" si="60"/>
        <v>120</v>
      </c>
      <c r="U445">
        <f t="shared" si="61"/>
        <v>68.800000000000011</v>
      </c>
      <c r="V445" s="8">
        <f t="shared" si="62"/>
        <v>0.36440677966101698</v>
      </c>
    </row>
    <row r="446" spans="1:22" x14ac:dyDescent="0.3">
      <c r="A446" t="s">
        <v>457</v>
      </c>
      <c r="B446" s="4">
        <v>45771</v>
      </c>
      <c r="C446" t="s">
        <v>566</v>
      </c>
      <c r="D446" t="str">
        <f t="shared" si="54"/>
        <v>Lily Hall</v>
      </c>
      <c r="E446" t="s">
        <v>618</v>
      </c>
      <c r="F446" t="str">
        <f t="shared" si="55"/>
        <v>United Kingdom</v>
      </c>
      <c r="G446" t="s">
        <v>633</v>
      </c>
      <c r="H446" t="s">
        <v>638</v>
      </c>
      <c r="I446">
        <v>1</v>
      </c>
      <c r="J446" s="1">
        <v>210</v>
      </c>
      <c r="K446" s="1">
        <v>125</v>
      </c>
      <c r="L446" s="2">
        <v>0.1</v>
      </c>
      <c r="M446" t="s">
        <v>644</v>
      </c>
      <c r="N446" t="s">
        <v>644</v>
      </c>
      <c r="O446" t="s">
        <v>648</v>
      </c>
      <c r="P446" t="str">
        <f t="shared" si="57"/>
        <v>Completed</v>
      </c>
      <c r="Q446" t="str">
        <f t="shared" si="58"/>
        <v>Valid</v>
      </c>
      <c r="R446" t="s">
        <v>659</v>
      </c>
      <c r="S446">
        <f t="shared" si="59"/>
        <v>189</v>
      </c>
      <c r="T446">
        <f t="shared" si="60"/>
        <v>125</v>
      </c>
      <c r="U446">
        <f t="shared" si="61"/>
        <v>64</v>
      </c>
      <c r="V446" s="8">
        <f t="shared" si="62"/>
        <v>0.33862433862433861</v>
      </c>
    </row>
    <row r="447" spans="1:22" x14ac:dyDescent="0.3">
      <c r="A447" t="s">
        <v>458</v>
      </c>
      <c r="B447" s="4">
        <v>45967</v>
      </c>
      <c r="C447" t="s">
        <v>570</v>
      </c>
      <c r="D447" t="str">
        <f t="shared" si="54"/>
        <v>Grace Moore</v>
      </c>
      <c r="E447" t="s">
        <v>613</v>
      </c>
      <c r="F447" t="str">
        <f t="shared" si="55"/>
        <v>Singapore</v>
      </c>
      <c r="G447" t="s">
        <v>637</v>
      </c>
      <c r="H447" t="s">
        <v>641</v>
      </c>
      <c r="I447">
        <v>5</v>
      </c>
      <c r="J447" s="1">
        <v>175</v>
      </c>
      <c r="K447" s="1">
        <v>105</v>
      </c>
      <c r="L447" s="2">
        <v>0.05</v>
      </c>
      <c r="M447" t="s">
        <v>647</v>
      </c>
      <c r="N447" t="str">
        <f t="shared" si="56"/>
        <v>Credit Card</v>
      </c>
      <c r="O447" t="s">
        <v>648</v>
      </c>
      <c r="P447" t="str">
        <f t="shared" si="57"/>
        <v>Completed</v>
      </c>
      <c r="Q447" t="str">
        <f t="shared" si="58"/>
        <v>Valid</v>
      </c>
      <c r="R447" t="s">
        <v>663</v>
      </c>
      <c r="S447">
        <f t="shared" si="59"/>
        <v>831.25</v>
      </c>
      <c r="T447">
        <f t="shared" si="60"/>
        <v>525</v>
      </c>
      <c r="U447">
        <f t="shared" si="61"/>
        <v>306.25</v>
      </c>
      <c r="V447" s="8">
        <f t="shared" si="62"/>
        <v>0.36842105263157893</v>
      </c>
    </row>
    <row r="448" spans="1:22" x14ac:dyDescent="0.3">
      <c r="A448" t="s">
        <v>459</v>
      </c>
      <c r="B448" s="4">
        <v>45817</v>
      </c>
      <c r="C448" t="s">
        <v>563</v>
      </c>
      <c r="D448" t="str">
        <f t="shared" si="54"/>
        <v>Liam Miller</v>
      </c>
      <c r="E448" t="s">
        <v>609</v>
      </c>
      <c r="F448" t="str">
        <f t="shared" si="55"/>
        <v>Singapore</v>
      </c>
      <c r="G448" t="s">
        <v>629</v>
      </c>
      <c r="H448" t="s">
        <v>640</v>
      </c>
      <c r="I448">
        <v>1</v>
      </c>
      <c r="J448" s="1">
        <v>92</v>
      </c>
      <c r="K448" s="1">
        <v>53</v>
      </c>
      <c r="L448" s="2">
        <v>0</v>
      </c>
      <c r="M448" t="s">
        <v>646</v>
      </c>
      <c r="N448" t="str">
        <f t="shared" si="56"/>
        <v>Debit Card</v>
      </c>
      <c r="O448" t="s">
        <v>649</v>
      </c>
      <c r="P448" t="str">
        <f t="shared" si="57"/>
        <v>Pending</v>
      </c>
      <c r="Q448" t="str">
        <f t="shared" si="58"/>
        <v>Valid</v>
      </c>
      <c r="R448" t="s">
        <v>656</v>
      </c>
      <c r="S448">
        <f t="shared" si="59"/>
        <v>92</v>
      </c>
      <c r="T448">
        <f t="shared" si="60"/>
        <v>53</v>
      </c>
      <c r="U448">
        <f t="shared" si="61"/>
        <v>39</v>
      </c>
      <c r="V448" s="8">
        <f t="shared" si="62"/>
        <v>0.42391304347826086</v>
      </c>
    </row>
    <row r="449" spans="1:22" x14ac:dyDescent="0.3">
      <c r="A449" t="s">
        <v>460</v>
      </c>
      <c r="B449" s="4">
        <v>45865</v>
      </c>
      <c r="C449" t="s">
        <v>569</v>
      </c>
      <c r="D449" t="str">
        <f t="shared" si="54"/>
        <v>Mia White</v>
      </c>
      <c r="E449" t="s">
        <v>618</v>
      </c>
      <c r="F449" t="str">
        <f t="shared" si="55"/>
        <v>United Kingdom</v>
      </c>
      <c r="G449" t="s">
        <v>629</v>
      </c>
      <c r="H449" t="s">
        <v>640</v>
      </c>
      <c r="I449">
        <v>1</v>
      </c>
      <c r="J449" s="1">
        <v>92</v>
      </c>
      <c r="K449" s="1">
        <v>53</v>
      </c>
      <c r="L449" s="2">
        <v>0.1</v>
      </c>
      <c r="M449" t="s">
        <v>644</v>
      </c>
      <c r="N449" t="s">
        <v>644</v>
      </c>
      <c r="O449" t="s">
        <v>648</v>
      </c>
      <c r="P449" t="str">
        <f t="shared" si="57"/>
        <v>Completed</v>
      </c>
      <c r="Q449" t="str">
        <f t="shared" si="58"/>
        <v>Valid</v>
      </c>
      <c r="R449" t="s">
        <v>662</v>
      </c>
      <c r="S449">
        <f t="shared" si="59"/>
        <v>82.8</v>
      </c>
      <c r="T449">
        <f t="shared" si="60"/>
        <v>53</v>
      </c>
      <c r="U449">
        <f t="shared" si="61"/>
        <v>29.799999999999997</v>
      </c>
      <c r="V449" s="8">
        <f t="shared" si="62"/>
        <v>0.35990338164251207</v>
      </c>
    </row>
    <row r="450" spans="1:22" x14ac:dyDescent="0.3">
      <c r="A450" t="s">
        <v>461</v>
      </c>
      <c r="B450" s="4">
        <v>45757</v>
      </c>
      <c r="C450" t="s">
        <v>584</v>
      </c>
      <c r="D450" t="str">
        <f t="shared" si="54"/>
        <v>James Thompson</v>
      </c>
      <c r="E450" t="s">
        <v>611</v>
      </c>
      <c r="F450" t="str">
        <f t="shared" si="55"/>
        <v>United States</v>
      </c>
      <c r="G450" t="s">
        <v>626</v>
      </c>
      <c r="H450" t="s">
        <v>638</v>
      </c>
      <c r="I450">
        <v>4</v>
      </c>
      <c r="J450" s="1">
        <v>36</v>
      </c>
      <c r="K450" s="1">
        <v>16</v>
      </c>
      <c r="L450" s="2">
        <v>0.15</v>
      </c>
      <c r="M450" t="s">
        <v>647</v>
      </c>
      <c r="N450" t="str">
        <f t="shared" si="56"/>
        <v>Credit Card</v>
      </c>
      <c r="O450" t="s">
        <v>648</v>
      </c>
      <c r="P450" t="str">
        <f t="shared" si="57"/>
        <v>Completed</v>
      </c>
      <c r="Q450" t="str">
        <f t="shared" si="58"/>
        <v>Valid</v>
      </c>
      <c r="R450" t="s">
        <v>675</v>
      </c>
      <c r="S450">
        <f t="shared" si="59"/>
        <v>122.39999999999999</v>
      </c>
      <c r="T450">
        <f t="shared" si="60"/>
        <v>64</v>
      </c>
      <c r="U450">
        <f t="shared" si="61"/>
        <v>58.399999999999991</v>
      </c>
      <c r="V450" s="8">
        <f t="shared" si="62"/>
        <v>0.47712418300653592</v>
      </c>
    </row>
    <row r="451" spans="1:22" x14ac:dyDescent="0.3">
      <c r="A451" t="s">
        <v>462</v>
      </c>
      <c r="B451" s="4">
        <v>45870</v>
      </c>
      <c r="C451" t="s">
        <v>575</v>
      </c>
      <c r="D451" t="str">
        <f t="shared" ref="D451:D514" si="63">PROPER(TRIM(C451))</f>
        <v>Lucas Jackson</v>
      </c>
      <c r="E451" t="s">
        <v>610</v>
      </c>
      <c r="F451" t="str">
        <f t="shared" ref="F451:F514" si="64">IF(OR(UPPER(TRIM(E451))="AUS",UPPER(TRIM(E451))="AUSTRALIA"),"Australia",IF(OR(UPPER(TRIM(E451))="CAN",UPPER(TRIM(E451))="CANADA"),"Canada",IF(OR(UPPER(TRIM(E451))="DE",UPPER(TRIM(E451))="GERMANY"),"Germany",IF(OR(UPPER(TRIM(E451))="IN",UPPER(TRIM(E451))="INDIA"),"India",IF(OR(UPPER(TRIM(E451))="US",UPPER(TRIM(E451))="USA",UPPER(TRIM(E451))="UNITED STATES"),"United States",IF(OR(UPPER(TRIM(E451))="UK",UPPER(TRIM(E451))="U.K.",UPPER(TRIM(E451))="UNITED KINGDOM"),"United Kingdom",IF(OR(UPPER(TRIM(E451))="UAE",UPPER(TRIM(E451))="U.A.E.",UPPER(TRIM(E451))="UNITED ARAB EMIRATES"),"United Arab Emirates",IF(OR(UPPER(TRIM(E451))="SG",UPPER(TRIM(E451))="SINGAPORE"),"Singapore",TRIM(E451)))))))))</f>
        <v>United Arab Emirates</v>
      </c>
      <c r="G451" t="s">
        <v>634</v>
      </c>
      <c r="H451" t="s">
        <v>641</v>
      </c>
      <c r="I451">
        <v>4</v>
      </c>
      <c r="J451" s="1">
        <v>59</v>
      </c>
      <c r="K451" s="1">
        <v>30</v>
      </c>
      <c r="L451" s="2">
        <v>0.1</v>
      </c>
      <c r="M451" t="s">
        <v>646</v>
      </c>
      <c r="N451" t="str">
        <f t="shared" ref="N451:N514" si="65">PROPER(TRIM(M451))</f>
        <v>Debit Card</v>
      </c>
      <c r="O451" t="s">
        <v>648</v>
      </c>
      <c r="P451" t="str">
        <f t="shared" ref="P451:P514" si="66">PROPER(TRIM(O451))</f>
        <v>Completed</v>
      </c>
      <c r="Q451" t="str">
        <f t="shared" ref="Q451:Q514" si="67">IF(TRIM(R451)="","Missing",IF(AND(ISNUMBER(SEARCH("@",R451)),ISNUMBER(SEARCH(".",R451,SEARCH("@",R451)+2))),"Valid","Invalid"))</f>
        <v>Valid</v>
      </c>
      <c r="R451" t="s">
        <v>668</v>
      </c>
      <c r="S451">
        <f t="shared" ref="S451:S514" si="68">I451*J451*(1-L451)</f>
        <v>212.4</v>
      </c>
      <c r="T451">
        <f t="shared" ref="T451:T514" si="69">I451*K451</f>
        <v>120</v>
      </c>
      <c r="U451">
        <f t="shared" ref="U451:U514" si="70">S451-T451</f>
        <v>92.4</v>
      </c>
      <c r="V451" s="8">
        <f t="shared" ref="V451:V514" si="71">IF(S451=0,0,U451/S451)</f>
        <v>0.43502824858757061</v>
      </c>
    </row>
    <row r="452" spans="1:22" x14ac:dyDescent="0.3">
      <c r="A452" t="s">
        <v>463</v>
      </c>
      <c r="B452" s="4">
        <v>45966</v>
      </c>
      <c r="C452" t="s">
        <v>568</v>
      </c>
      <c r="D452" t="str">
        <f t="shared" si="63"/>
        <v>Daniel Harris</v>
      </c>
      <c r="E452" t="s">
        <v>613</v>
      </c>
      <c r="F452" t="str">
        <f t="shared" si="64"/>
        <v>Singapore</v>
      </c>
      <c r="G452" t="s">
        <v>626</v>
      </c>
      <c r="H452" t="s">
        <v>638</v>
      </c>
      <c r="I452">
        <v>5</v>
      </c>
      <c r="J452" s="1">
        <v>36</v>
      </c>
      <c r="K452" s="1">
        <v>16</v>
      </c>
      <c r="L452" s="2">
        <v>0</v>
      </c>
      <c r="M452" t="s">
        <v>642</v>
      </c>
      <c r="N452" t="s">
        <v>644</v>
      </c>
      <c r="O452" t="s">
        <v>648</v>
      </c>
      <c r="P452" t="str">
        <f t="shared" si="66"/>
        <v>Completed</v>
      </c>
      <c r="Q452" t="str">
        <f t="shared" si="67"/>
        <v>Valid</v>
      </c>
      <c r="R452" t="s">
        <v>666</v>
      </c>
      <c r="S452">
        <f t="shared" si="68"/>
        <v>180</v>
      </c>
      <c r="T452">
        <f t="shared" si="69"/>
        <v>80</v>
      </c>
      <c r="U452">
        <f t="shared" si="70"/>
        <v>100</v>
      </c>
      <c r="V452" s="8">
        <f t="shared" si="71"/>
        <v>0.55555555555555558</v>
      </c>
    </row>
    <row r="453" spans="1:22" x14ac:dyDescent="0.3">
      <c r="A453" t="s">
        <v>464</v>
      </c>
      <c r="B453" s="4">
        <v>45879</v>
      </c>
      <c r="C453" t="s">
        <v>570</v>
      </c>
      <c r="D453" t="str">
        <f t="shared" si="63"/>
        <v>Grace Moore</v>
      </c>
      <c r="E453" t="s">
        <v>622</v>
      </c>
      <c r="F453" t="str">
        <f t="shared" si="64"/>
        <v>United Arab Emirates</v>
      </c>
      <c r="G453" t="s">
        <v>631</v>
      </c>
      <c r="H453" t="s">
        <v>641</v>
      </c>
      <c r="I453">
        <v>2</v>
      </c>
      <c r="J453" s="1">
        <v>85</v>
      </c>
      <c r="K453" s="1">
        <v>44</v>
      </c>
      <c r="L453" s="2">
        <v>0.05</v>
      </c>
      <c r="M453" t="s">
        <v>642</v>
      </c>
      <c r="N453" t="s">
        <v>644</v>
      </c>
      <c r="O453" t="s">
        <v>648</v>
      </c>
      <c r="P453" t="str">
        <f t="shared" si="66"/>
        <v>Completed</v>
      </c>
      <c r="Q453" t="str">
        <f t="shared" si="67"/>
        <v>Valid</v>
      </c>
      <c r="R453" t="s">
        <v>663</v>
      </c>
      <c r="S453">
        <f t="shared" si="68"/>
        <v>161.5</v>
      </c>
      <c r="T453">
        <f t="shared" si="69"/>
        <v>88</v>
      </c>
      <c r="U453">
        <f t="shared" si="70"/>
        <v>73.5</v>
      </c>
      <c r="V453" s="8">
        <f t="shared" si="71"/>
        <v>0.45510835913312692</v>
      </c>
    </row>
    <row r="454" spans="1:22" x14ac:dyDescent="0.3">
      <c r="A454" t="s">
        <v>465</v>
      </c>
      <c r="B454" s="4">
        <v>45911</v>
      </c>
      <c r="C454" t="s">
        <v>570</v>
      </c>
      <c r="D454" t="str">
        <f t="shared" si="63"/>
        <v>Grace Moore</v>
      </c>
      <c r="E454" t="s">
        <v>600</v>
      </c>
      <c r="F454" t="str">
        <f t="shared" si="64"/>
        <v>Australia</v>
      </c>
      <c r="G454" t="s">
        <v>632</v>
      </c>
      <c r="H454" t="s">
        <v>639</v>
      </c>
      <c r="I454">
        <v>3</v>
      </c>
      <c r="J454" s="1">
        <v>42</v>
      </c>
      <c r="K454" s="1">
        <v>21</v>
      </c>
      <c r="L454" s="2">
        <v>0</v>
      </c>
      <c r="M454" t="s">
        <v>644</v>
      </c>
      <c r="N454" t="s">
        <v>644</v>
      </c>
      <c r="O454" t="s">
        <v>648</v>
      </c>
      <c r="P454" t="str">
        <f t="shared" si="66"/>
        <v>Completed</v>
      </c>
      <c r="Q454" t="str">
        <f t="shared" si="67"/>
        <v>Valid</v>
      </c>
      <c r="R454" t="s">
        <v>663</v>
      </c>
      <c r="S454">
        <f t="shared" si="68"/>
        <v>126</v>
      </c>
      <c r="T454">
        <f t="shared" si="69"/>
        <v>63</v>
      </c>
      <c r="U454">
        <f t="shared" si="70"/>
        <v>63</v>
      </c>
      <c r="V454" s="8">
        <f t="shared" si="71"/>
        <v>0.5</v>
      </c>
    </row>
    <row r="455" spans="1:22" x14ac:dyDescent="0.3">
      <c r="A455" t="s">
        <v>466</v>
      </c>
      <c r="B455" s="4">
        <v>45847</v>
      </c>
      <c r="C455" t="s">
        <v>564</v>
      </c>
      <c r="D455" t="str">
        <f t="shared" si="63"/>
        <v>Ava Thomas</v>
      </c>
      <c r="E455" t="s">
        <v>604</v>
      </c>
      <c r="F455" t="str">
        <f t="shared" si="64"/>
        <v>United States</v>
      </c>
      <c r="G455" t="s">
        <v>626</v>
      </c>
      <c r="H455" t="s">
        <v>638</v>
      </c>
      <c r="I455">
        <v>5</v>
      </c>
      <c r="J455" s="1">
        <v>36</v>
      </c>
      <c r="K455" s="1">
        <v>16</v>
      </c>
      <c r="L455" s="2">
        <v>0</v>
      </c>
      <c r="M455" t="s">
        <v>647</v>
      </c>
      <c r="N455" t="str">
        <f t="shared" si="65"/>
        <v>Credit Card</v>
      </c>
      <c r="O455" t="s">
        <v>651</v>
      </c>
      <c r="P455" t="str">
        <f t="shared" si="66"/>
        <v>Shipped</v>
      </c>
      <c r="Q455" t="str">
        <f t="shared" si="67"/>
        <v>Valid</v>
      </c>
      <c r="R455" t="s">
        <v>657</v>
      </c>
      <c r="S455">
        <f t="shared" si="68"/>
        <v>180</v>
      </c>
      <c r="T455">
        <f t="shared" si="69"/>
        <v>80</v>
      </c>
      <c r="U455">
        <f t="shared" si="70"/>
        <v>100</v>
      </c>
      <c r="V455" s="8">
        <f t="shared" si="71"/>
        <v>0.55555555555555558</v>
      </c>
    </row>
    <row r="456" spans="1:22" x14ac:dyDescent="0.3">
      <c r="A456" t="s">
        <v>467</v>
      </c>
      <c r="B456" s="4">
        <v>45779</v>
      </c>
      <c r="C456" t="s">
        <v>571</v>
      </c>
      <c r="D456" t="str">
        <f t="shared" si="63"/>
        <v>Henry Clark</v>
      </c>
      <c r="E456" t="s">
        <v>615</v>
      </c>
      <c r="F456" t="str">
        <f t="shared" si="64"/>
        <v>Canada</v>
      </c>
      <c r="G456" t="s">
        <v>630</v>
      </c>
      <c r="H456" t="s">
        <v>640</v>
      </c>
      <c r="I456">
        <v>2</v>
      </c>
      <c r="J456" s="1">
        <v>78</v>
      </c>
      <c r="K456" s="1">
        <v>45</v>
      </c>
      <c r="L456" s="2">
        <v>0</v>
      </c>
      <c r="M456" t="s">
        <v>643</v>
      </c>
      <c r="N456" t="str">
        <f t="shared" si="65"/>
        <v>Credit Card</v>
      </c>
      <c r="O456" t="s">
        <v>650</v>
      </c>
      <c r="P456" t="str">
        <f t="shared" si="66"/>
        <v>Cancelled</v>
      </c>
      <c r="Q456" t="str">
        <f t="shared" si="67"/>
        <v>Valid</v>
      </c>
      <c r="R456" t="s">
        <v>664</v>
      </c>
      <c r="S456">
        <f t="shared" si="68"/>
        <v>156</v>
      </c>
      <c r="T456">
        <f t="shared" si="69"/>
        <v>90</v>
      </c>
      <c r="U456">
        <f t="shared" si="70"/>
        <v>66</v>
      </c>
      <c r="V456" s="8">
        <f t="shared" si="71"/>
        <v>0.42307692307692307</v>
      </c>
    </row>
    <row r="457" spans="1:22" x14ac:dyDescent="0.3">
      <c r="A457" t="s">
        <v>468</v>
      </c>
      <c r="B457" s="4">
        <v>45902</v>
      </c>
      <c r="C457" t="s">
        <v>572</v>
      </c>
      <c r="D457" t="str">
        <f t="shared" si="63"/>
        <v>Olivia Davis</v>
      </c>
      <c r="E457" t="s">
        <v>604</v>
      </c>
      <c r="F457" t="str">
        <f t="shared" si="64"/>
        <v>United States</v>
      </c>
      <c r="G457" t="s">
        <v>630</v>
      </c>
      <c r="H457" t="s">
        <v>640</v>
      </c>
      <c r="I457">
        <v>3</v>
      </c>
      <c r="J457" s="1">
        <v>78</v>
      </c>
      <c r="K457" s="1">
        <v>45</v>
      </c>
      <c r="L457" s="2">
        <v>0.05</v>
      </c>
      <c r="M457" t="s">
        <v>642</v>
      </c>
      <c r="N457" t="s">
        <v>644</v>
      </c>
      <c r="O457" t="s">
        <v>649</v>
      </c>
      <c r="P457" t="str">
        <f t="shared" si="66"/>
        <v>Pending</v>
      </c>
      <c r="Q457" t="str">
        <f t="shared" si="67"/>
        <v>Valid</v>
      </c>
      <c r="R457" t="s">
        <v>665</v>
      </c>
      <c r="S457">
        <f t="shared" si="68"/>
        <v>222.29999999999998</v>
      </c>
      <c r="T457">
        <f t="shared" si="69"/>
        <v>135</v>
      </c>
      <c r="U457">
        <f t="shared" si="70"/>
        <v>87.299999999999983</v>
      </c>
      <c r="V457" s="8">
        <f t="shared" si="71"/>
        <v>0.39271255060728738</v>
      </c>
    </row>
    <row r="458" spans="1:22" x14ac:dyDescent="0.3">
      <c r="A458" t="s">
        <v>469</v>
      </c>
      <c r="B458" s="4">
        <v>45977</v>
      </c>
      <c r="C458" t="s">
        <v>573</v>
      </c>
      <c r="D458" t="str">
        <f t="shared" si="63"/>
        <v>Noah Brown</v>
      </c>
      <c r="E458" t="s">
        <v>618</v>
      </c>
      <c r="F458" t="str">
        <f t="shared" si="64"/>
        <v>United Kingdom</v>
      </c>
      <c r="G458" t="s">
        <v>633</v>
      </c>
      <c r="H458" t="s">
        <v>638</v>
      </c>
      <c r="I458">
        <v>5</v>
      </c>
      <c r="J458" s="1">
        <v>210</v>
      </c>
      <c r="K458" s="1">
        <v>125</v>
      </c>
      <c r="L458" s="2">
        <v>0.05</v>
      </c>
      <c r="M458" t="s">
        <v>642</v>
      </c>
      <c r="N458" t="s">
        <v>644</v>
      </c>
      <c r="O458" t="s">
        <v>648</v>
      </c>
      <c r="P458" t="str">
        <f t="shared" si="66"/>
        <v>Completed</v>
      </c>
      <c r="Q458" t="str">
        <f t="shared" si="67"/>
        <v>Valid</v>
      </c>
      <c r="R458" t="s">
        <v>667</v>
      </c>
      <c r="S458">
        <f t="shared" si="68"/>
        <v>997.5</v>
      </c>
      <c r="T458">
        <f t="shared" si="69"/>
        <v>625</v>
      </c>
      <c r="U458">
        <f t="shared" si="70"/>
        <v>372.5</v>
      </c>
      <c r="V458" s="8">
        <f t="shared" si="71"/>
        <v>0.37343358395989973</v>
      </c>
    </row>
    <row r="459" spans="1:22" x14ac:dyDescent="0.3">
      <c r="A459" t="s">
        <v>470</v>
      </c>
      <c r="B459" s="4">
        <v>45913</v>
      </c>
      <c r="C459" t="s">
        <v>576</v>
      </c>
      <c r="D459" t="str">
        <f t="shared" si="63"/>
        <v>Chloe Lewis</v>
      </c>
      <c r="E459" t="s">
        <v>603</v>
      </c>
      <c r="F459" t="str">
        <f t="shared" si="64"/>
        <v>Germany</v>
      </c>
      <c r="G459" t="s">
        <v>630</v>
      </c>
      <c r="H459" t="s">
        <v>640</v>
      </c>
      <c r="I459">
        <v>1</v>
      </c>
      <c r="J459" s="1">
        <v>78</v>
      </c>
      <c r="K459" s="1">
        <v>45</v>
      </c>
      <c r="L459" s="2">
        <v>0.15</v>
      </c>
      <c r="M459" t="s">
        <v>642</v>
      </c>
      <c r="N459" t="s">
        <v>644</v>
      </c>
      <c r="O459" t="s">
        <v>648</v>
      </c>
      <c r="P459" t="str">
        <f t="shared" si="66"/>
        <v>Completed</v>
      </c>
      <c r="Q459" t="str">
        <f t="shared" si="67"/>
        <v>Valid</v>
      </c>
      <c r="R459" t="s">
        <v>669</v>
      </c>
      <c r="S459">
        <f t="shared" si="68"/>
        <v>66.3</v>
      </c>
      <c r="T459">
        <f t="shared" si="69"/>
        <v>45</v>
      </c>
      <c r="U459">
        <f t="shared" si="70"/>
        <v>21.299999999999997</v>
      </c>
      <c r="V459" s="8">
        <f t="shared" si="71"/>
        <v>0.32126696832579182</v>
      </c>
    </row>
    <row r="460" spans="1:22" x14ac:dyDescent="0.3">
      <c r="A460" t="s">
        <v>471</v>
      </c>
      <c r="B460" s="4">
        <v>45750</v>
      </c>
      <c r="C460" t="s">
        <v>570</v>
      </c>
      <c r="D460" t="str">
        <f t="shared" si="63"/>
        <v>Grace Moore</v>
      </c>
      <c r="E460" t="s">
        <v>613</v>
      </c>
      <c r="F460" t="str">
        <f t="shared" si="64"/>
        <v>Singapore</v>
      </c>
      <c r="G460" t="s">
        <v>637</v>
      </c>
      <c r="H460" t="s">
        <v>641</v>
      </c>
      <c r="I460">
        <v>3</v>
      </c>
      <c r="J460" s="1">
        <v>175</v>
      </c>
      <c r="K460" s="1">
        <v>105</v>
      </c>
      <c r="L460" s="2">
        <v>0.15</v>
      </c>
      <c r="M460" t="s">
        <v>646</v>
      </c>
      <c r="N460" t="str">
        <f t="shared" si="65"/>
        <v>Debit Card</v>
      </c>
      <c r="O460" t="s">
        <v>648</v>
      </c>
      <c r="P460" t="str">
        <f t="shared" si="66"/>
        <v>Completed</v>
      </c>
      <c r="Q460" t="str">
        <f t="shared" si="67"/>
        <v>Valid</v>
      </c>
      <c r="R460" t="s">
        <v>663</v>
      </c>
      <c r="S460">
        <f t="shared" si="68"/>
        <v>446.25</v>
      </c>
      <c r="T460">
        <f t="shared" si="69"/>
        <v>315</v>
      </c>
      <c r="U460">
        <f t="shared" si="70"/>
        <v>131.25</v>
      </c>
      <c r="V460" s="8">
        <f t="shared" si="71"/>
        <v>0.29411764705882354</v>
      </c>
    </row>
    <row r="461" spans="1:22" x14ac:dyDescent="0.3">
      <c r="A461" t="s">
        <v>472</v>
      </c>
      <c r="B461" s="4">
        <v>45752</v>
      </c>
      <c r="C461" t="s">
        <v>569</v>
      </c>
      <c r="D461" t="str">
        <f t="shared" si="63"/>
        <v>Mia White</v>
      </c>
      <c r="E461" t="s">
        <v>603</v>
      </c>
      <c r="F461" t="str">
        <f t="shared" si="64"/>
        <v>Germany</v>
      </c>
      <c r="G461" t="s">
        <v>627</v>
      </c>
      <c r="H461" t="s">
        <v>639</v>
      </c>
      <c r="I461">
        <v>4</v>
      </c>
      <c r="J461" s="1">
        <v>38</v>
      </c>
      <c r="K461" s="1">
        <v>17</v>
      </c>
      <c r="L461" s="2">
        <v>0</v>
      </c>
      <c r="M461" t="s">
        <v>645</v>
      </c>
      <c r="N461" t="str">
        <f t="shared" si="65"/>
        <v>Bank Transfer</v>
      </c>
      <c r="O461" t="s">
        <v>651</v>
      </c>
      <c r="P461" t="str">
        <f t="shared" si="66"/>
        <v>Shipped</v>
      </c>
      <c r="Q461" t="str">
        <f t="shared" si="67"/>
        <v>Valid</v>
      </c>
      <c r="R461" t="s">
        <v>662</v>
      </c>
      <c r="S461">
        <f t="shared" si="68"/>
        <v>152</v>
      </c>
      <c r="T461">
        <f t="shared" si="69"/>
        <v>68</v>
      </c>
      <c r="U461">
        <f t="shared" si="70"/>
        <v>84</v>
      </c>
      <c r="V461" s="8">
        <f t="shared" si="71"/>
        <v>0.55263157894736847</v>
      </c>
    </row>
    <row r="462" spans="1:22" x14ac:dyDescent="0.3">
      <c r="A462" t="s">
        <v>473</v>
      </c>
      <c r="B462" s="4">
        <v>45947</v>
      </c>
      <c r="C462" t="s">
        <v>564</v>
      </c>
      <c r="D462" t="str">
        <f t="shared" si="63"/>
        <v>Ava Thomas</v>
      </c>
      <c r="E462" t="s">
        <v>602</v>
      </c>
      <c r="F462" t="str">
        <f t="shared" si="64"/>
        <v>Australia</v>
      </c>
      <c r="G462" t="s">
        <v>628</v>
      </c>
      <c r="H462" t="s">
        <v>639</v>
      </c>
      <c r="I462">
        <v>3</v>
      </c>
      <c r="J462" s="1">
        <v>18</v>
      </c>
      <c r="K462" s="1">
        <v>7</v>
      </c>
      <c r="L462" s="2">
        <v>0.05</v>
      </c>
      <c r="M462" t="s">
        <v>642</v>
      </c>
      <c r="N462" t="s">
        <v>644</v>
      </c>
      <c r="O462" t="s">
        <v>649</v>
      </c>
      <c r="P462" t="str">
        <f t="shared" si="66"/>
        <v>Pending</v>
      </c>
      <c r="Q462" t="str">
        <f t="shared" si="67"/>
        <v>Valid</v>
      </c>
      <c r="R462" t="s">
        <v>657</v>
      </c>
      <c r="S462">
        <f t="shared" si="68"/>
        <v>51.3</v>
      </c>
      <c r="T462">
        <f t="shared" si="69"/>
        <v>21</v>
      </c>
      <c r="U462">
        <f t="shared" si="70"/>
        <v>30.299999999999997</v>
      </c>
      <c r="V462" s="8">
        <f t="shared" si="71"/>
        <v>0.59064327485380119</v>
      </c>
    </row>
    <row r="463" spans="1:22" x14ac:dyDescent="0.3">
      <c r="A463" t="s">
        <v>474</v>
      </c>
      <c r="B463" s="4">
        <v>45997</v>
      </c>
      <c r="C463" t="s">
        <v>572</v>
      </c>
      <c r="D463" t="str">
        <f t="shared" si="63"/>
        <v>Olivia Davis</v>
      </c>
      <c r="E463" t="s">
        <v>614</v>
      </c>
      <c r="F463" t="str">
        <f t="shared" si="64"/>
        <v>Australia</v>
      </c>
      <c r="G463" t="s">
        <v>636</v>
      </c>
      <c r="H463" t="s">
        <v>641</v>
      </c>
      <c r="I463">
        <v>3</v>
      </c>
      <c r="J463" s="1">
        <v>245</v>
      </c>
      <c r="K463" s="1">
        <v>150</v>
      </c>
      <c r="L463" s="2">
        <v>0.15</v>
      </c>
      <c r="M463" t="s">
        <v>645</v>
      </c>
      <c r="N463" t="str">
        <f t="shared" si="65"/>
        <v>Bank Transfer</v>
      </c>
      <c r="O463" t="s">
        <v>649</v>
      </c>
      <c r="P463" t="str">
        <f t="shared" si="66"/>
        <v>Pending</v>
      </c>
      <c r="Q463" t="str">
        <f t="shared" si="67"/>
        <v>Valid</v>
      </c>
      <c r="R463" t="s">
        <v>665</v>
      </c>
      <c r="S463">
        <f t="shared" si="68"/>
        <v>624.75</v>
      </c>
      <c r="T463">
        <f t="shared" si="69"/>
        <v>450</v>
      </c>
      <c r="U463">
        <f t="shared" si="70"/>
        <v>174.75</v>
      </c>
      <c r="V463" s="8">
        <f t="shared" si="71"/>
        <v>0.27971188475390157</v>
      </c>
    </row>
    <row r="464" spans="1:22" x14ac:dyDescent="0.3">
      <c r="A464" t="s">
        <v>475</v>
      </c>
      <c r="B464" s="4">
        <v>45809</v>
      </c>
      <c r="C464" t="s">
        <v>570</v>
      </c>
      <c r="D464" t="str">
        <f t="shared" si="63"/>
        <v>Grace Moore</v>
      </c>
      <c r="E464" t="s">
        <v>602</v>
      </c>
      <c r="F464" t="str">
        <f t="shared" si="64"/>
        <v>Australia</v>
      </c>
      <c r="G464" t="s">
        <v>626</v>
      </c>
      <c r="H464" t="s">
        <v>638</v>
      </c>
      <c r="I464">
        <v>3</v>
      </c>
      <c r="J464" s="1">
        <v>36</v>
      </c>
      <c r="K464" s="1">
        <v>16</v>
      </c>
      <c r="L464" s="2">
        <v>0.05</v>
      </c>
      <c r="M464" t="s">
        <v>646</v>
      </c>
      <c r="N464" t="str">
        <f t="shared" si="65"/>
        <v>Debit Card</v>
      </c>
      <c r="O464" t="s">
        <v>650</v>
      </c>
      <c r="P464" t="str">
        <f t="shared" si="66"/>
        <v>Cancelled</v>
      </c>
      <c r="Q464" t="str">
        <f t="shared" si="67"/>
        <v>Valid</v>
      </c>
      <c r="R464" t="s">
        <v>663</v>
      </c>
      <c r="S464">
        <f t="shared" si="68"/>
        <v>102.6</v>
      </c>
      <c r="T464">
        <f t="shared" si="69"/>
        <v>48</v>
      </c>
      <c r="U464">
        <f t="shared" si="70"/>
        <v>54.599999999999994</v>
      </c>
      <c r="V464" s="8">
        <f t="shared" si="71"/>
        <v>0.53216374269005851</v>
      </c>
    </row>
    <row r="465" spans="1:22" x14ac:dyDescent="0.3">
      <c r="A465" t="s">
        <v>476</v>
      </c>
      <c r="B465" s="4">
        <v>45832</v>
      </c>
      <c r="C465" t="s">
        <v>580</v>
      </c>
      <c r="D465" t="str">
        <f t="shared" si="63"/>
        <v>Benjamin Walker</v>
      </c>
      <c r="E465" t="s">
        <v>602</v>
      </c>
      <c r="F465" t="str">
        <f t="shared" si="64"/>
        <v>Australia</v>
      </c>
      <c r="G465" t="s">
        <v>627</v>
      </c>
      <c r="H465" t="s">
        <v>639</v>
      </c>
      <c r="I465">
        <v>5</v>
      </c>
      <c r="J465" s="1">
        <v>38</v>
      </c>
      <c r="K465" s="1">
        <v>17</v>
      </c>
      <c r="L465" s="2">
        <v>0.15</v>
      </c>
      <c r="M465" t="s">
        <v>647</v>
      </c>
      <c r="N465" t="str">
        <f t="shared" si="65"/>
        <v>Credit Card</v>
      </c>
      <c r="O465" t="s">
        <v>650</v>
      </c>
      <c r="P465" t="str">
        <f t="shared" si="66"/>
        <v>Cancelled</v>
      </c>
      <c r="Q465" t="str">
        <f t="shared" si="67"/>
        <v>Valid</v>
      </c>
      <c r="R465" t="s">
        <v>672</v>
      </c>
      <c r="S465">
        <f t="shared" si="68"/>
        <v>161.5</v>
      </c>
      <c r="T465">
        <f t="shared" si="69"/>
        <v>85</v>
      </c>
      <c r="U465">
        <f t="shared" si="70"/>
        <v>76.5</v>
      </c>
      <c r="V465" s="8">
        <f t="shared" si="71"/>
        <v>0.47368421052631576</v>
      </c>
    </row>
    <row r="466" spans="1:22" x14ac:dyDescent="0.3">
      <c r="A466" t="s">
        <v>477</v>
      </c>
      <c r="B466" s="4">
        <v>45780</v>
      </c>
      <c r="C466" t="s">
        <v>572</v>
      </c>
      <c r="D466" t="str">
        <f t="shared" si="63"/>
        <v>Olivia Davis</v>
      </c>
      <c r="E466" t="s">
        <v>617</v>
      </c>
      <c r="F466" t="str">
        <f t="shared" si="64"/>
        <v>Germany</v>
      </c>
      <c r="G466" t="s">
        <v>629</v>
      </c>
      <c r="H466" t="s">
        <v>640</v>
      </c>
      <c r="I466">
        <v>3</v>
      </c>
      <c r="J466" s="1">
        <v>92</v>
      </c>
      <c r="K466" s="1">
        <v>53</v>
      </c>
      <c r="L466" s="2">
        <v>0</v>
      </c>
      <c r="M466" t="s">
        <v>645</v>
      </c>
      <c r="N466" t="str">
        <f t="shared" si="65"/>
        <v>Bank Transfer</v>
      </c>
      <c r="O466" t="s">
        <v>648</v>
      </c>
      <c r="P466" t="str">
        <f t="shared" si="66"/>
        <v>Completed</v>
      </c>
      <c r="Q466" t="str">
        <f t="shared" si="67"/>
        <v>Valid</v>
      </c>
      <c r="R466" t="s">
        <v>665</v>
      </c>
      <c r="S466">
        <f t="shared" si="68"/>
        <v>276</v>
      </c>
      <c r="T466">
        <f t="shared" si="69"/>
        <v>159</v>
      </c>
      <c r="U466">
        <f t="shared" si="70"/>
        <v>117</v>
      </c>
      <c r="V466" s="8">
        <f t="shared" si="71"/>
        <v>0.42391304347826086</v>
      </c>
    </row>
    <row r="467" spans="1:22" x14ac:dyDescent="0.3">
      <c r="A467" t="s">
        <v>478</v>
      </c>
      <c r="B467" s="4">
        <v>45969</v>
      </c>
      <c r="C467" t="s">
        <v>584</v>
      </c>
      <c r="D467" t="str">
        <f t="shared" si="63"/>
        <v>James Thompson</v>
      </c>
      <c r="E467" t="s">
        <v>605</v>
      </c>
      <c r="F467" t="str">
        <f t="shared" si="64"/>
        <v>Singapore</v>
      </c>
      <c r="G467" t="s">
        <v>637</v>
      </c>
      <c r="H467" t="s">
        <v>641</v>
      </c>
      <c r="I467">
        <v>4</v>
      </c>
      <c r="J467" s="1">
        <v>175</v>
      </c>
      <c r="K467" s="1">
        <v>105</v>
      </c>
      <c r="L467" s="2">
        <v>0</v>
      </c>
      <c r="M467" t="s">
        <v>644</v>
      </c>
      <c r="N467" t="s">
        <v>644</v>
      </c>
      <c r="O467" t="s">
        <v>648</v>
      </c>
      <c r="P467" t="str">
        <f t="shared" si="66"/>
        <v>Completed</v>
      </c>
      <c r="Q467" t="str">
        <f t="shared" si="67"/>
        <v>Valid</v>
      </c>
      <c r="R467" t="s">
        <v>675</v>
      </c>
      <c r="S467">
        <f t="shared" si="68"/>
        <v>700</v>
      </c>
      <c r="T467">
        <f t="shared" si="69"/>
        <v>420</v>
      </c>
      <c r="U467">
        <f t="shared" si="70"/>
        <v>280</v>
      </c>
      <c r="V467" s="8">
        <f t="shared" si="71"/>
        <v>0.4</v>
      </c>
    </row>
    <row r="468" spans="1:22" x14ac:dyDescent="0.3">
      <c r="A468" t="s">
        <v>479</v>
      </c>
      <c r="B468" s="4">
        <v>45944</v>
      </c>
      <c r="C468" t="s">
        <v>596</v>
      </c>
      <c r="D468" t="str">
        <f t="shared" si="63"/>
        <v>Chloe Lewis</v>
      </c>
      <c r="E468" t="s">
        <v>607</v>
      </c>
      <c r="F468" t="str">
        <f t="shared" si="64"/>
        <v>Germany</v>
      </c>
      <c r="G468" t="s">
        <v>631</v>
      </c>
      <c r="H468" t="s">
        <v>641</v>
      </c>
      <c r="I468">
        <v>5</v>
      </c>
      <c r="J468" s="1">
        <v>85</v>
      </c>
      <c r="K468" s="1">
        <v>44</v>
      </c>
      <c r="L468" s="2">
        <v>0</v>
      </c>
      <c r="M468" t="s">
        <v>644</v>
      </c>
      <c r="N468" t="s">
        <v>644</v>
      </c>
      <c r="O468" t="s">
        <v>648</v>
      </c>
      <c r="P468" t="str">
        <f t="shared" si="66"/>
        <v>Completed</v>
      </c>
      <c r="Q468" t="str">
        <f t="shared" si="67"/>
        <v>Invalid</v>
      </c>
      <c r="R468" t="s">
        <v>684</v>
      </c>
      <c r="S468">
        <f t="shared" si="68"/>
        <v>425</v>
      </c>
      <c r="T468">
        <f t="shared" si="69"/>
        <v>220</v>
      </c>
      <c r="U468">
        <f t="shared" si="70"/>
        <v>205</v>
      </c>
      <c r="V468" s="8">
        <f t="shared" si="71"/>
        <v>0.4823529411764706</v>
      </c>
    </row>
    <row r="469" spans="1:22" x14ac:dyDescent="0.3">
      <c r="A469" t="s">
        <v>480</v>
      </c>
      <c r="B469" s="4">
        <v>45690</v>
      </c>
      <c r="C469" t="s">
        <v>578</v>
      </c>
      <c r="D469" t="str">
        <f t="shared" si="63"/>
        <v>Ella Martin</v>
      </c>
      <c r="E469" t="s">
        <v>623</v>
      </c>
      <c r="F469" t="str">
        <f t="shared" si="64"/>
        <v>United States</v>
      </c>
      <c r="G469" t="s">
        <v>635</v>
      </c>
      <c r="H469" t="s">
        <v>639</v>
      </c>
      <c r="I469">
        <v>4</v>
      </c>
      <c r="J469" s="1">
        <v>65</v>
      </c>
      <c r="K469" s="1">
        <v>31</v>
      </c>
      <c r="L469" s="2">
        <v>0.05</v>
      </c>
      <c r="M469" t="s">
        <v>643</v>
      </c>
      <c r="N469" t="str">
        <f t="shared" si="65"/>
        <v>Credit Card</v>
      </c>
      <c r="O469" t="s">
        <v>648</v>
      </c>
      <c r="P469" t="str">
        <f t="shared" si="66"/>
        <v>Completed</v>
      </c>
      <c r="Q469" t="str">
        <f t="shared" si="67"/>
        <v>Valid</v>
      </c>
      <c r="R469" t="s">
        <v>671</v>
      </c>
      <c r="S469">
        <f t="shared" si="68"/>
        <v>247</v>
      </c>
      <c r="T469">
        <f t="shared" si="69"/>
        <v>124</v>
      </c>
      <c r="U469">
        <f t="shared" si="70"/>
        <v>123</v>
      </c>
      <c r="V469" s="8">
        <f t="shared" si="71"/>
        <v>0.49797570850202427</v>
      </c>
    </row>
    <row r="470" spans="1:22" x14ac:dyDescent="0.3">
      <c r="A470" t="s">
        <v>481</v>
      </c>
      <c r="B470" s="4">
        <v>45876</v>
      </c>
      <c r="C470" t="s">
        <v>575</v>
      </c>
      <c r="D470" t="str">
        <f t="shared" si="63"/>
        <v>Lucas Jackson</v>
      </c>
      <c r="E470" t="s">
        <v>616</v>
      </c>
      <c r="F470" t="str">
        <f t="shared" si="64"/>
        <v>United Kingdom</v>
      </c>
      <c r="G470" t="s">
        <v>628</v>
      </c>
      <c r="H470" t="s">
        <v>639</v>
      </c>
      <c r="I470">
        <v>2</v>
      </c>
      <c r="J470" s="1">
        <v>18</v>
      </c>
      <c r="K470" s="1">
        <v>7</v>
      </c>
      <c r="L470" s="2">
        <v>0</v>
      </c>
      <c r="M470" t="s">
        <v>646</v>
      </c>
      <c r="N470" t="str">
        <f t="shared" si="65"/>
        <v>Debit Card</v>
      </c>
      <c r="O470" t="s">
        <v>648</v>
      </c>
      <c r="P470" t="str">
        <f t="shared" si="66"/>
        <v>Completed</v>
      </c>
      <c r="Q470" t="str">
        <f t="shared" si="67"/>
        <v>Valid</v>
      </c>
      <c r="R470" t="s">
        <v>668</v>
      </c>
      <c r="S470">
        <f t="shared" si="68"/>
        <v>36</v>
      </c>
      <c r="T470">
        <f t="shared" si="69"/>
        <v>14</v>
      </c>
      <c r="U470">
        <f t="shared" si="70"/>
        <v>22</v>
      </c>
      <c r="V470" s="8">
        <f t="shared" si="71"/>
        <v>0.61111111111111116</v>
      </c>
    </row>
    <row r="471" spans="1:22" x14ac:dyDescent="0.3">
      <c r="A471" t="s">
        <v>482</v>
      </c>
      <c r="B471" s="4">
        <v>45999</v>
      </c>
      <c r="C471" t="s">
        <v>586</v>
      </c>
      <c r="D471" t="str">
        <f t="shared" si="63"/>
        <v>Ella Martin</v>
      </c>
      <c r="E471" t="s">
        <v>620</v>
      </c>
      <c r="F471" t="str">
        <f t="shared" si="64"/>
        <v>India</v>
      </c>
      <c r="G471" t="s">
        <v>627</v>
      </c>
      <c r="H471" t="s">
        <v>639</v>
      </c>
      <c r="I471">
        <v>1</v>
      </c>
      <c r="J471" s="1">
        <v>38</v>
      </c>
      <c r="K471" s="1">
        <v>17</v>
      </c>
      <c r="L471" s="2">
        <v>0.2</v>
      </c>
      <c r="M471" t="s">
        <v>645</v>
      </c>
      <c r="N471" t="str">
        <f t="shared" si="65"/>
        <v>Bank Transfer</v>
      </c>
      <c r="O471" t="s">
        <v>651</v>
      </c>
      <c r="P471" t="str">
        <f t="shared" si="66"/>
        <v>Shipped</v>
      </c>
      <c r="Q471" t="str">
        <f t="shared" si="67"/>
        <v>Valid</v>
      </c>
      <c r="R471" t="s">
        <v>671</v>
      </c>
      <c r="S471">
        <f t="shared" si="68"/>
        <v>30.400000000000002</v>
      </c>
      <c r="T471">
        <f t="shared" si="69"/>
        <v>17</v>
      </c>
      <c r="U471">
        <f t="shared" si="70"/>
        <v>13.400000000000002</v>
      </c>
      <c r="V471" s="8">
        <f t="shared" si="71"/>
        <v>0.44078947368421056</v>
      </c>
    </row>
    <row r="472" spans="1:22" x14ac:dyDescent="0.3">
      <c r="A472" t="s">
        <v>483</v>
      </c>
      <c r="B472" s="4">
        <v>46018</v>
      </c>
      <c r="C472" t="s">
        <v>577</v>
      </c>
      <c r="D472" t="str">
        <f t="shared" si="63"/>
        <v>Emma Wilson</v>
      </c>
      <c r="E472" t="s">
        <v>599</v>
      </c>
      <c r="F472" t="str">
        <f t="shared" si="64"/>
        <v>United Arab Emirates</v>
      </c>
      <c r="G472" t="s">
        <v>632</v>
      </c>
      <c r="H472" t="s">
        <v>639</v>
      </c>
      <c r="I472">
        <v>4</v>
      </c>
      <c r="J472" s="1">
        <v>42</v>
      </c>
      <c r="K472" s="1">
        <v>21</v>
      </c>
      <c r="L472" s="2">
        <v>0.2</v>
      </c>
      <c r="N472" t="s">
        <v>717</v>
      </c>
      <c r="O472" t="s">
        <v>648</v>
      </c>
      <c r="P472" t="str">
        <f t="shared" si="66"/>
        <v>Completed</v>
      </c>
      <c r="Q472" t="str">
        <f t="shared" si="67"/>
        <v>Valid</v>
      </c>
      <c r="R472" t="s">
        <v>670</v>
      </c>
      <c r="S472">
        <f t="shared" si="68"/>
        <v>134.4</v>
      </c>
      <c r="T472">
        <f t="shared" si="69"/>
        <v>84</v>
      </c>
      <c r="U472">
        <f t="shared" si="70"/>
        <v>50.400000000000006</v>
      </c>
      <c r="V472" s="8">
        <f t="shared" si="71"/>
        <v>0.375</v>
      </c>
    </row>
    <row r="473" spans="1:22" x14ac:dyDescent="0.3">
      <c r="A473" t="s">
        <v>484</v>
      </c>
      <c r="B473" s="4">
        <v>45737</v>
      </c>
      <c r="C473" t="s">
        <v>573</v>
      </c>
      <c r="D473" t="str">
        <f t="shared" si="63"/>
        <v>Noah Brown</v>
      </c>
      <c r="E473" t="s">
        <v>619</v>
      </c>
      <c r="F473" t="str">
        <f t="shared" si="64"/>
        <v>India</v>
      </c>
      <c r="G473" t="s">
        <v>631</v>
      </c>
      <c r="H473" t="s">
        <v>641</v>
      </c>
      <c r="I473">
        <v>5</v>
      </c>
      <c r="J473" s="1">
        <v>85</v>
      </c>
      <c r="K473" s="1">
        <v>44</v>
      </c>
      <c r="L473" s="2">
        <v>0.2</v>
      </c>
      <c r="M473" t="s">
        <v>645</v>
      </c>
      <c r="N473" t="str">
        <f t="shared" si="65"/>
        <v>Bank Transfer</v>
      </c>
      <c r="O473" t="s">
        <v>648</v>
      </c>
      <c r="P473" t="str">
        <f t="shared" si="66"/>
        <v>Completed</v>
      </c>
      <c r="Q473" t="str">
        <f t="shared" si="67"/>
        <v>Valid</v>
      </c>
      <c r="R473" t="s">
        <v>667</v>
      </c>
      <c r="S473">
        <f t="shared" si="68"/>
        <v>340</v>
      </c>
      <c r="T473">
        <f t="shared" si="69"/>
        <v>220</v>
      </c>
      <c r="U473">
        <f t="shared" si="70"/>
        <v>120</v>
      </c>
      <c r="V473" s="8">
        <f t="shared" si="71"/>
        <v>0.35294117647058826</v>
      </c>
    </row>
    <row r="474" spans="1:22" x14ac:dyDescent="0.3">
      <c r="A474" t="s">
        <v>485</v>
      </c>
      <c r="B474" s="4">
        <v>45783</v>
      </c>
      <c r="C474" t="s">
        <v>580</v>
      </c>
      <c r="D474" t="str">
        <f t="shared" si="63"/>
        <v>Benjamin Walker</v>
      </c>
      <c r="E474" t="s">
        <v>617</v>
      </c>
      <c r="F474" t="str">
        <f t="shared" si="64"/>
        <v>Germany</v>
      </c>
      <c r="G474" t="s">
        <v>637</v>
      </c>
      <c r="H474" t="s">
        <v>641</v>
      </c>
      <c r="I474">
        <v>4</v>
      </c>
      <c r="J474" s="1">
        <v>175</v>
      </c>
      <c r="K474" s="1">
        <v>105</v>
      </c>
      <c r="L474" s="2">
        <v>0</v>
      </c>
      <c r="M474" t="s">
        <v>647</v>
      </c>
      <c r="N474" t="str">
        <f t="shared" si="65"/>
        <v>Credit Card</v>
      </c>
      <c r="O474" t="s">
        <v>651</v>
      </c>
      <c r="P474" t="str">
        <f t="shared" si="66"/>
        <v>Shipped</v>
      </c>
      <c r="Q474" t="str">
        <f t="shared" si="67"/>
        <v>Valid</v>
      </c>
      <c r="R474" t="s">
        <v>672</v>
      </c>
      <c r="S474">
        <f t="shared" si="68"/>
        <v>700</v>
      </c>
      <c r="T474">
        <f t="shared" si="69"/>
        <v>420</v>
      </c>
      <c r="U474">
        <f t="shared" si="70"/>
        <v>280</v>
      </c>
      <c r="V474" s="8">
        <f t="shared" si="71"/>
        <v>0.4</v>
      </c>
    </row>
    <row r="475" spans="1:22" x14ac:dyDescent="0.3">
      <c r="A475" t="s">
        <v>486</v>
      </c>
      <c r="B475" s="4">
        <v>45670</v>
      </c>
      <c r="C475" t="s">
        <v>573</v>
      </c>
      <c r="D475" t="str">
        <f t="shared" si="63"/>
        <v>Noah Brown</v>
      </c>
      <c r="E475" t="s">
        <v>617</v>
      </c>
      <c r="F475" t="str">
        <f t="shared" si="64"/>
        <v>Germany</v>
      </c>
      <c r="G475" t="s">
        <v>637</v>
      </c>
      <c r="H475" t="s">
        <v>641</v>
      </c>
      <c r="I475">
        <v>2</v>
      </c>
      <c r="J475" s="1">
        <v>175</v>
      </c>
      <c r="K475" s="1">
        <v>105</v>
      </c>
      <c r="L475" s="2">
        <v>0.1</v>
      </c>
      <c r="M475" t="s">
        <v>644</v>
      </c>
      <c r="N475" t="s">
        <v>644</v>
      </c>
      <c r="O475" t="s">
        <v>651</v>
      </c>
      <c r="P475" t="str">
        <f t="shared" si="66"/>
        <v>Shipped</v>
      </c>
      <c r="Q475" t="str">
        <f t="shared" si="67"/>
        <v>Invalid</v>
      </c>
      <c r="R475" t="s">
        <v>680</v>
      </c>
      <c r="S475">
        <f t="shared" si="68"/>
        <v>315</v>
      </c>
      <c r="T475">
        <f t="shared" si="69"/>
        <v>210</v>
      </c>
      <c r="U475">
        <f t="shared" si="70"/>
        <v>105</v>
      </c>
      <c r="V475" s="8">
        <f t="shared" si="71"/>
        <v>0.33333333333333331</v>
      </c>
    </row>
    <row r="476" spans="1:22" x14ac:dyDescent="0.3">
      <c r="A476" t="s">
        <v>487</v>
      </c>
      <c r="B476" s="4">
        <v>45747</v>
      </c>
      <c r="C476" t="s">
        <v>587</v>
      </c>
      <c r="D476" t="str">
        <f t="shared" si="63"/>
        <v>Henry Clark</v>
      </c>
      <c r="E476" t="s">
        <v>606</v>
      </c>
      <c r="F476" t="str">
        <f t="shared" si="64"/>
        <v>Canada</v>
      </c>
      <c r="G476" t="s">
        <v>631</v>
      </c>
      <c r="H476" t="s">
        <v>641</v>
      </c>
      <c r="I476">
        <v>5</v>
      </c>
      <c r="J476" s="1">
        <v>85</v>
      </c>
      <c r="K476" s="1">
        <v>44</v>
      </c>
      <c r="L476" s="2">
        <v>0.1</v>
      </c>
      <c r="M476" t="s">
        <v>647</v>
      </c>
      <c r="N476" t="str">
        <f t="shared" si="65"/>
        <v>Credit Card</v>
      </c>
      <c r="O476" t="s">
        <v>650</v>
      </c>
      <c r="P476" t="str">
        <f t="shared" si="66"/>
        <v>Cancelled</v>
      </c>
      <c r="Q476" t="str">
        <f t="shared" si="67"/>
        <v>Valid</v>
      </c>
      <c r="R476" t="s">
        <v>664</v>
      </c>
      <c r="S476">
        <f t="shared" si="68"/>
        <v>382.5</v>
      </c>
      <c r="T476">
        <f t="shared" si="69"/>
        <v>220</v>
      </c>
      <c r="U476">
        <f t="shared" si="70"/>
        <v>162.5</v>
      </c>
      <c r="V476" s="8">
        <f t="shared" si="71"/>
        <v>0.42483660130718953</v>
      </c>
    </row>
    <row r="477" spans="1:22" x14ac:dyDescent="0.3">
      <c r="A477" t="s">
        <v>488</v>
      </c>
      <c r="B477" s="4">
        <v>45902</v>
      </c>
      <c r="C477" t="s">
        <v>584</v>
      </c>
      <c r="D477" t="str">
        <f t="shared" si="63"/>
        <v>James Thompson</v>
      </c>
      <c r="E477" t="s">
        <v>606</v>
      </c>
      <c r="F477" t="str">
        <f t="shared" si="64"/>
        <v>Canada</v>
      </c>
      <c r="G477" t="s">
        <v>631</v>
      </c>
      <c r="H477" t="s">
        <v>641</v>
      </c>
      <c r="I477">
        <v>5</v>
      </c>
      <c r="J477" s="1">
        <v>85</v>
      </c>
      <c r="K477" s="1">
        <v>44</v>
      </c>
      <c r="L477" s="2">
        <v>0.05</v>
      </c>
      <c r="M477" t="s">
        <v>646</v>
      </c>
      <c r="N477" t="str">
        <f t="shared" si="65"/>
        <v>Debit Card</v>
      </c>
      <c r="O477" t="s">
        <v>648</v>
      </c>
      <c r="P477" t="str">
        <f t="shared" si="66"/>
        <v>Completed</v>
      </c>
      <c r="Q477" t="str">
        <f t="shared" si="67"/>
        <v>Valid</v>
      </c>
      <c r="R477" t="s">
        <v>675</v>
      </c>
      <c r="S477">
        <f t="shared" si="68"/>
        <v>403.75</v>
      </c>
      <c r="T477">
        <f t="shared" si="69"/>
        <v>220</v>
      </c>
      <c r="U477">
        <f t="shared" si="70"/>
        <v>183.75</v>
      </c>
      <c r="V477" s="8">
        <f t="shared" si="71"/>
        <v>0.45510835913312692</v>
      </c>
    </row>
    <row r="478" spans="1:22" x14ac:dyDescent="0.3">
      <c r="A478" t="s">
        <v>489</v>
      </c>
      <c r="B478" s="4">
        <v>45825</v>
      </c>
      <c r="C478" t="s">
        <v>567</v>
      </c>
      <c r="D478" t="str">
        <f t="shared" si="63"/>
        <v>Sophia Taylor</v>
      </c>
      <c r="E478" t="s">
        <v>600</v>
      </c>
      <c r="F478" t="str">
        <f t="shared" si="64"/>
        <v>Australia</v>
      </c>
      <c r="G478" t="s">
        <v>637</v>
      </c>
      <c r="H478" t="s">
        <v>641</v>
      </c>
      <c r="I478">
        <v>3</v>
      </c>
      <c r="J478" s="1">
        <v>175</v>
      </c>
      <c r="K478" s="1">
        <v>105</v>
      </c>
      <c r="L478" s="2">
        <v>0.05</v>
      </c>
      <c r="M478" t="s">
        <v>643</v>
      </c>
      <c r="N478" t="str">
        <f t="shared" si="65"/>
        <v>Credit Card</v>
      </c>
      <c r="O478" t="s">
        <v>648</v>
      </c>
      <c r="P478" t="str">
        <f t="shared" si="66"/>
        <v>Completed</v>
      </c>
      <c r="Q478" t="str">
        <f t="shared" si="67"/>
        <v>Valid</v>
      </c>
      <c r="R478" t="s">
        <v>660</v>
      </c>
      <c r="S478">
        <f t="shared" si="68"/>
        <v>498.75</v>
      </c>
      <c r="T478">
        <f t="shared" si="69"/>
        <v>315</v>
      </c>
      <c r="U478">
        <f t="shared" si="70"/>
        <v>183.75</v>
      </c>
      <c r="V478" s="8">
        <f t="shared" si="71"/>
        <v>0.36842105263157893</v>
      </c>
    </row>
    <row r="479" spans="1:22" x14ac:dyDescent="0.3">
      <c r="A479" t="s">
        <v>490</v>
      </c>
      <c r="B479" s="4">
        <v>45753</v>
      </c>
      <c r="C479" t="s">
        <v>576</v>
      </c>
      <c r="D479" t="str">
        <f t="shared" si="63"/>
        <v>Chloe Lewis</v>
      </c>
      <c r="E479" t="s">
        <v>611</v>
      </c>
      <c r="F479" t="str">
        <f t="shared" si="64"/>
        <v>United States</v>
      </c>
      <c r="G479" t="s">
        <v>634</v>
      </c>
      <c r="H479" t="s">
        <v>641</v>
      </c>
      <c r="I479">
        <v>3</v>
      </c>
      <c r="J479" s="1">
        <v>59</v>
      </c>
      <c r="K479" s="1">
        <v>30</v>
      </c>
      <c r="L479" s="2">
        <v>0.2</v>
      </c>
      <c r="M479" t="s">
        <v>643</v>
      </c>
      <c r="N479" t="str">
        <f t="shared" si="65"/>
        <v>Credit Card</v>
      </c>
      <c r="O479" t="s">
        <v>653</v>
      </c>
      <c r="P479" t="str">
        <f t="shared" si="66"/>
        <v>Pending</v>
      </c>
      <c r="Q479" t="str">
        <f t="shared" si="67"/>
        <v>Valid</v>
      </c>
      <c r="R479" t="s">
        <v>669</v>
      </c>
      <c r="S479">
        <f t="shared" si="68"/>
        <v>141.6</v>
      </c>
      <c r="T479">
        <f t="shared" si="69"/>
        <v>90</v>
      </c>
      <c r="U479">
        <f t="shared" si="70"/>
        <v>51.599999999999994</v>
      </c>
      <c r="V479" s="8">
        <f t="shared" si="71"/>
        <v>0.36440677966101692</v>
      </c>
    </row>
    <row r="480" spans="1:22" x14ac:dyDescent="0.3">
      <c r="A480" t="s">
        <v>491</v>
      </c>
      <c r="B480" s="4">
        <v>45763</v>
      </c>
      <c r="C480" t="s">
        <v>576</v>
      </c>
      <c r="D480" t="str">
        <f t="shared" si="63"/>
        <v>Chloe Lewis</v>
      </c>
      <c r="E480" t="s">
        <v>618</v>
      </c>
      <c r="F480" t="str">
        <f t="shared" si="64"/>
        <v>United Kingdom</v>
      </c>
      <c r="G480" t="s">
        <v>636</v>
      </c>
      <c r="H480" t="s">
        <v>641</v>
      </c>
      <c r="I480">
        <v>1</v>
      </c>
      <c r="J480" s="1">
        <v>245</v>
      </c>
      <c r="K480" s="1">
        <v>150</v>
      </c>
      <c r="L480" s="2">
        <v>0</v>
      </c>
      <c r="M480" t="s">
        <v>647</v>
      </c>
      <c r="N480" t="str">
        <f t="shared" si="65"/>
        <v>Credit Card</v>
      </c>
      <c r="O480" t="s">
        <v>650</v>
      </c>
      <c r="P480" t="str">
        <f t="shared" si="66"/>
        <v>Cancelled</v>
      </c>
      <c r="Q480" t="str">
        <f t="shared" si="67"/>
        <v>Valid</v>
      </c>
      <c r="R480" t="s">
        <v>669</v>
      </c>
      <c r="S480">
        <f t="shared" si="68"/>
        <v>245</v>
      </c>
      <c r="T480">
        <f t="shared" si="69"/>
        <v>150</v>
      </c>
      <c r="U480">
        <f t="shared" si="70"/>
        <v>95</v>
      </c>
      <c r="V480" s="8">
        <f t="shared" si="71"/>
        <v>0.38775510204081631</v>
      </c>
    </row>
    <row r="481" spans="1:22" x14ac:dyDescent="0.3">
      <c r="A481" t="s">
        <v>492</v>
      </c>
      <c r="B481" s="4">
        <v>45681</v>
      </c>
      <c r="C481" t="s">
        <v>579</v>
      </c>
      <c r="D481" t="str">
        <f t="shared" si="63"/>
        <v>Olivia Davis</v>
      </c>
      <c r="E481" t="s">
        <v>619</v>
      </c>
      <c r="F481" t="str">
        <f t="shared" si="64"/>
        <v>India</v>
      </c>
      <c r="G481" t="s">
        <v>634</v>
      </c>
      <c r="H481" t="s">
        <v>641</v>
      </c>
      <c r="I481">
        <v>2</v>
      </c>
      <c r="J481" s="1">
        <v>59</v>
      </c>
      <c r="K481" s="1">
        <v>30</v>
      </c>
      <c r="L481" s="2">
        <v>0.05</v>
      </c>
      <c r="M481" t="s">
        <v>642</v>
      </c>
      <c r="N481" t="s">
        <v>644</v>
      </c>
      <c r="O481" t="s">
        <v>648</v>
      </c>
      <c r="P481" t="str">
        <f t="shared" si="66"/>
        <v>Completed</v>
      </c>
      <c r="Q481" t="str">
        <f t="shared" si="67"/>
        <v>Valid</v>
      </c>
      <c r="R481" t="s">
        <v>665</v>
      </c>
      <c r="S481">
        <f t="shared" si="68"/>
        <v>112.1</v>
      </c>
      <c r="T481">
        <f t="shared" si="69"/>
        <v>60</v>
      </c>
      <c r="U481">
        <f t="shared" si="70"/>
        <v>52.099999999999994</v>
      </c>
      <c r="V481" s="8">
        <f t="shared" si="71"/>
        <v>0.46476360392506688</v>
      </c>
    </row>
    <row r="482" spans="1:22" x14ac:dyDescent="0.3">
      <c r="A482" t="s">
        <v>493</v>
      </c>
      <c r="B482" s="4">
        <v>46012</v>
      </c>
      <c r="C482" t="s">
        <v>575</v>
      </c>
      <c r="D482" t="str">
        <f t="shared" si="63"/>
        <v>Lucas Jackson</v>
      </c>
      <c r="E482" t="s">
        <v>617</v>
      </c>
      <c r="F482" t="str">
        <f t="shared" si="64"/>
        <v>Germany</v>
      </c>
      <c r="G482" t="s">
        <v>627</v>
      </c>
      <c r="H482" t="s">
        <v>639</v>
      </c>
      <c r="I482">
        <v>5</v>
      </c>
      <c r="J482" s="1">
        <v>38</v>
      </c>
      <c r="K482" s="1">
        <v>17</v>
      </c>
      <c r="L482" s="2">
        <v>0.05</v>
      </c>
      <c r="M482" t="s">
        <v>644</v>
      </c>
      <c r="N482" t="s">
        <v>644</v>
      </c>
      <c r="O482" t="s">
        <v>651</v>
      </c>
      <c r="P482" t="str">
        <f t="shared" si="66"/>
        <v>Shipped</v>
      </c>
      <c r="Q482" t="str">
        <f t="shared" si="67"/>
        <v>Valid</v>
      </c>
      <c r="R482" t="s">
        <v>668</v>
      </c>
      <c r="S482">
        <f t="shared" si="68"/>
        <v>180.5</v>
      </c>
      <c r="T482">
        <f t="shared" si="69"/>
        <v>85</v>
      </c>
      <c r="U482">
        <f t="shared" si="70"/>
        <v>95.5</v>
      </c>
      <c r="V482" s="8">
        <f t="shared" si="71"/>
        <v>0.52908587257617734</v>
      </c>
    </row>
    <row r="483" spans="1:22" x14ac:dyDescent="0.3">
      <c r="A483" t="s">
        <v>494</v>
      </c>
      <c r="B483" s="4">
        <v>45959</v>
      </c>
      <c r="C483" t="s">
        <v>570</v>
      </c>
      <c r="D483" t="str">
        <f t="shared" si="63"/>
        <v>Grace Moore</v>
      </c>
      <c r="E483" t="s">
        <v>601</v>
      </c>
      <c r="F483" t="str">
        <f t="shared" si="64"/>
        <v>United Kingdom</v>
      </c>
      <c r="G483" t="s">
        <v>636</v>
      </c>
      <c r="H483" t="s">
        <v>641</v>
      </c>
      <c r="I483">
        <v>3</v>
      </c>
      <c r="J483" s="1">
        <v>245</v>
      </c>
      <c r="K483" s="1">
        <v>150</v>
      </c>
      <c r="L483" s="2">
        <v>0</v>
      </c>
      <c r="M483" t="s">
        <v>646</v>
      </c>
      <c r="N483" t="str">
        <f t="shared" si="65"/>
        <v>Debit Card</v>
      </c>
      <c r="O483" t="s">
        <v>648</v>
      </c>
      <c r="P483" t="str">
        <f t="shared" si="66"/>
        <v>Completed</v>
      </c>
      <c r="Q483" t="str">
        <f t="shared" si="67"/>
        <v>Valid</v>
      </c>
      <c r="R483" t="s">
        <v>663</v>
      </c>
      <c r="S483">
        <f t="shared" si="68"/>
        <v>735</v>
      </c>
      <c r="T483">
        <f t="shared" si="69"/>
        <v>450</v>
      </c>
      <c r="U483">
        <f t="shared" si="70"/>
        <v>285</v>
      </c>
      <c r="V483" s="8">
        <f t="shared" si="71"/>
        <v>0.38775510204081631</v>
      </c>
    </row>
    <row r="484" spans="1:22" x14ac:dyDescent="0.3">
      <c r="A484" t="s">
        <v>495</v>
      </c>
      <c r="B484" s="4">
        <v>45976</v>
      </c>
      <c r="C484" t="s">
        <v>572</v>
      </c>
      <c r="D484" t="str">
        <f t="shared" si="63"/>
        <v>Olivia Davis</v>
      </c>
      <c r="E484" t="s">
        <v>610</v>
      </c>
      <c r="F484" t="str">
        <f t="shared" si="64"/>
        <v>United Arab Emirates</v>
      </c>
      <c r="G484" t="s">
        <v>629</v>
      </c>
      <c r="H484" t="s">
        <v>640</v>
      </c>
      <c r="I484">
        <v>1</v>
      </c>
      <c r="J484" s="1">
        <v>92</v>
      </c>
      <c r="K484" s="1">
        <v>53</v>
      </c>
      <c r="L484" s="2">
        <v>0.05</v>
      </c>
      <c r="M484" t="s">
        <v>642</v>
      </c>
      <c r="N484" t="s">
        <v>644</v>
      </c>
      <c r="O484" t="s">
        <v>649</v>
      </c>
      <c r="P484" t="str">
        <f t="shared" si="66"/>
        <v>Pending</v>
      </c>
      <c r="Q484" t="str">
        <f t="shared" si="67"/>
        <v>Valid</v>
      </c>
      <c r="R484" t="s">
        <v>665</v>
      </c>
      <c r="S484">
        <f t="shared" si="68"/>
        <v>87.399999999999991</v>
      </c>
      <c r="T484">
        <f t="shared" si="69"/>
        <v>53</v>
      </c>
      <c r="U484">
        <f t="shared" si="70"/>
        <v>34.399999999999991</v>
      </c>
      <c r="V484" s="8">
        <f t="shared" si="71"/>
        <v>0.39359267734553771</v>
      </c>
    </row>
    <row r="485" spans="1:22" x14ac:dyDescent="0.3">
      <c r="A485" t="s">
        <v>496</v>
      </c>
      <c r="B485" s="4">
        <v>45880</v>
      </c>
      <c r="C485" t="s">
        <v>566</v>
      </c>
      <c r="D485" t="str">
        <f t="shared" si="63"/>
        <v>Lily Hall</v>
      </c>
      <c r="E485" t="s">
        <v>620</v>
      </c>
      <c r="F485" t="str">
        <f t="shared" si="64"/>
        <v>India</v>
      </c>
      <c r="G485" t="s">
        <v>634</v>
      </c>
      <c r="H485" t="s">
        <v>641</v>
      </c>
      <c r="I485">
        <v>1</v>
      </c>
      <c r="J485" s="1">
        <v>59</v>
      </c>
      <c r="K485" s="1">
        <v>30</v>
      </c>
      <c r="L485" s="2">
        <v>0</v>
      </c>
      <c r="M485" t="s">
        <v>644</v>
      </c>
      <c r="N485" t="s">
        <v>644</v>
      </c>
      <c r="O485" t="s">
        <v>649</v>
      </c>
      <c r="P485" t="str">
        <f t="shared" si="66"/>
        <v>Pending</v>
      </c>
      <c r="Q485" t="str">
        <f t="shared" si="67"/>
        <v>Valid</v>
      </c>
      <c r="R485" t="s">
        <v>659</v>
      </c>
      <c r="S485">
        <f t="shared" si="68"/>
        <v>59</v>
      </c>
      <c r="T485">
        <f t="shared" si="69"/>
        <v>30</v>
      </c>
      <c r="U485">
        <f t="shared" si="70"/>
        <v>29</v>
      </c>
      <c r="V485" s="8">
        <f t="shared" si="71"/>
        <v>0.49152542372881358</v>
      </c>
    </row>
    <row r="486" spans="1:22" x14ac:dyDescent="0.3">
      <c r="A486" t="s">
        <v>497</v>
      </c>
      <c r="B486" s="4">
        <v>45734</v>
      </c>
      <c r="C486" t="s">
        <v>566</v>
      </c>
      <c r="D486" t="str">
        <f t="shared" si="63"/>
        <v>Lily Hall</v>
      </c>
      <c r="E486" t="s">
        <v>619</v>
      </c>
      <c r="F486" t="str">
        <f t="shared" si="64"/>
        <v>India</v>
      </c>
      <c r="G486" t="s">
        <v>636</v>
      </c>
      <c r="H486" t="s">
        <v>641</v>
      </c>
      <c r="I486">
        <v>2</v>
      </c>
      <c r="J486" s="1">
        <v>245</v>
      </c>
      <c r="K486" s="1">
        <v>150</v>
      </c>
      <c r="L486" s="2">
        <v>0.05</v>
      </c>
      <c r="M486" t="s">
        <v>644</v>
      </c>
      <c r="N486" t="s">
        <v>644</v>
      </c>
      <c r="O486" t="s">
        <v>651</v>
      </c>
      <c r="P486" t="str">
        <f t="shared" si="66"/>
        <v>Shipped</v>
      </c>
      <c r="Q486" t="str">
        <f t="shared" si="67"/>
        <v>Valid</v>
      </c>
      <c r="R486" t="s">
        <v>659</v>
      </c>
      <c r="S486">
        <f t="shared" si="68"/>
        <v>465.5</v>
      </c>
      <c r="T486">
        <f t="shared" si="69"/>
        <v>300</v>
      </c>
      <c r="U486">
        <f t="shared" si="70"/>
        <v>165.5</v>
      </c>
      <c r="V486" s="8">
        <f t="shared" si="71"/>
        <v>0.35553168635875404</v>
      </c>
    </row>
    <row r="487" spans="1:22" x14ac:dyDescent="0.3">
      <c r="A487" t="s">
        <v>498</v>
      </c>
      <c r="B487" s="4">
        <v>45866</v>
      </c>
      <c r="C487" t="s">
        <v>580</v>
      </c>
      <c r="D487" t="str">
        <f t="shared" si="63"/>
        <v>Benjamin Walker</v>
      </c>
      <c r="E487" t="s">
        <v>599</v>
      </c>
      <c r="F487" t="str">
        <f t="shared" si="64"/>
        <v>United Arab Emirates</v>
      </c>
      <c r="G487" t="s">
        <v>630</v>
      </c>
      <c r="H487" t="s">
        <v>640</v>
      </c>
      <c r="I487">
        <v>3</v>
      </c>
      <c r="J487" s="1">
        <v>78</v>
      </c>
      <c r="K487" s="1">
        <v>45</v>
      </c>
      <c r="L487" s="2">
        <v>0.15</v>
      </c>
      <c r="M487" t="s">
        <v>647</v>
      </c>
      <c r="N487" t="str">
        <f t="shared" si="65"/>
        <v>Credit Card</v>
      </c>
      <c r="O487" t="s">
        <v>649</v>
      </c>
      <c r="P487" t="str">
        <f t="shared" si="66"/>
        <v>Pending</v>
      </c>
      <c r="Q487" t="str">
        <f t="shared" si="67"/>
        <v>Valid</v>
      </c>
      <c r="R487" t="s">
        <v>672</v>
      </c>
      <c r="S487">
        <f t="shared" si="68"/>
        <v>198.9</v>
      </c>
      <c r="T487">
        <f t="shared" si="69"/>
        <v>135</v>
      </c>
      <c r="U487">
        <f t="shared" si="70"/>
        <v>63.900000000000006</v>
      </c>
      <c r="V487" s="8">
        <f t="shared" si="71"/>
        <v>0.32126696832579188</v>
      </c>
    </row>
    <row r="488" spans="1:22" x14ac:dyDescent="0.3">
      <c r="A488" t="s">
        <v>499</v>
      </c>
      <c r="B488" s="4">
        <v>46002</v>
      </c>
      <c r="C488" t="s">
        <v>583</v>
      </c>
      <c r="D488" t="str">
        <f t="shared" si="63"/>
        <v>Ethan Anderson</v>
      </c>
      <c r="E488" t="s">
        <v>615</v>
      </c>
      <c r="F488" t="str">
        <f t="shared" si="64"/>
        <v>Canada</v>
      </c>
      <c r="G488" t="s">
        <v>629</v>
      </c>
      <c r="H488" t="s">
        <v>640</v>
      </c>
      <c r="I488">
        <v>2</v>
      </c>
      <c r="J488" s="1">
        <v>92</v>
      </c>
      <c r="K488" s="1">
        <v>53</v>
      </c>
      <c r="L488" s="2">
        <v>0</v>
      </c>
      <c r="M488" t="s">
        <v>643</v>
      </c>
      <c r="N488" t="str">
        <f t="shared" si="65"/>
        <v>Credit Card</v>
      </c>
      <c r="O488" t="s">
        <v>649</v>
      </c>
      <c r="P488" t="str">
        <f t="shared" si="66"/>
        <v>Pending</v>
      </c>
      <c r="Q488" t="str">
        <f t="shared" si="67"/>
        <v>Valid</v>
      </c>
      <c r="R488" t="s">
        <v>673</v>
      </c>
      <c r="S488">
        <f t="shared" si="68"/>
        <v>184</v>
      </c>
      <c r="T488">
        <f t="shared" si="69"/>
        <v>106</v>
      </c>
      <c r="U488">
        <f t="shared" si="70"/>
        <v>78</v>
      </c>
      <c r="V488" s="8">
        <f t="shared" si="71"/>
        <v>0.42391304347826086</v>
      </c>
    </row>
    <row r="489" spans="1:22" x14ac:dyDescent="0.3">
      <c r="A489" t="s">
        <v>500</v>
      </c>
      <c r="B489" s="4">
        <v>45816</v>
      </c>
      <c r="C489" t="s">
        <v>597</v>
      </c>
      <c r="D489" t="str">
        <f t="shared" si="63"/>
        <v>Ethan Anderson</v>
      </c>
      <c r="E489" t="s">
        <v>606</v>
      </c>
      <c r="F489" t="str">
        <f t="shared" si="64"/>
        <v>Canada</v>
      </c>
      <c r="G489" t="s">
        <v>637</v>
      </c>
      <c r="H489" t="s">
        <v>641</v>
      </c>
      <c r="I489">
        <v>2</v>
      </c>
      <c r="J489" s="1">
        <v>175</v>
      </c>
      <c r="K489" s="1">
        <v>105</v>
      </c>
      <c r="L489" s="2">
        <v>0.05</v>
      </c>
      <c r="M489" t="s">
        <v>646</v>
      </c>
      <c r="N489" t="str">
        <f t="shared" si="65"/>
        <v>Debit Card</v>
      </c>
      <c r="O489" t="s">
        <v>648</v>
      </c>
      <c r="P489" t="str">
        <f t="shared" si="66"/>
        <v>Completed</v>
      </c>
      <c r="Q489" t="str">
        <f t="shared" si="67"/>
        <v>Valid</v>
      </c>
      <c r="R489" t="s">
        <v>673</v>
      </c>
      <c r="S489">
        <f t="shared" si="68"/>
        <v>332.5</v>
      </c>
      <c r="T489">
        <f t="shared" si="69"/>
        <v>210</v>
      </c>
      <c r="U489">
        <f t="shared" si="70"/>
        <v>122.5</v>
      </c>
      <c r="V489" s="8">
        <f t="shared" si="71"/>
        <v>0.36842105263157893</v>
      </c>
    </row>
    <row r="490" spans="1:22" x14ac:dyDescent="0.3">
      <c r="A490" t="s">
        <v>501</v>
      </c>
      <c r="B490" s="4">
        <v>45812</v>
      </c>
      <c r="C490" t="s">
        <v>584</v>
      </c>
      <c r="D490" t="str">
        <f t="shared" si="63"/>
        <v>James Thompson</v>
      </c>
      <c r="E490" t="s">
        <v>619</v>
      </c>
      <c r="F490" t="str">
        <f t="shared" si="64"/>
        <v>India</v>
      </c>
      <c r="G490" t="s">
        <v>636</v>
      </c>
      <c r="H490" t="s">
        <v>641</v>
      </c>
      <c r="I490">
        <v>3</v>
      </c>
      <c r="J490" s="1">
        <v>245</v>
      </c>
      <c r="K490" s="1">
        <v>150</v>
      </c>
      <c r="L490" s="2">
        <v>0.05</v>
      </c>
      <c r="M490" t="s">
        <v>642</v>
      </c>
      <c r="N490" t="s">
        <v>644</v>
      </c>
      <c r="O490" t="s">
        <v>649</v>
      </c>
      <c r="P490" t="str">
        <f t="shared" si="66"/>
        <v>Pending</v>
      </c>
      <c r="Q490" t="str">
        <f t="shared" si="67"/>
        <v>Valid</v>
      </c>
      <c r="R490" t="s">
        <v>675</v>
      </c>
      <c r="S490">
        <f t="shared" si="68"/>
        <v>698.25</v>
      </c>
      <c r="T490">
        <f t="shared" si="69"/>
        <v>450</v>
      </c>
      <c r="U490">
        <f t="shared" si="70"/>
        <v>248.25</v>
      </c>
      <c r="V490" s="8">
        <f t="shared" si="71"/>
        <v>0.35553168635875404</v>
      </c>
    </row>
    <row r="491" spans="1:22" x14ac:dyDescent="0.3">
      <c r="A491" t="s">
        <v>502</v>
      </c>
      <c r="B491" s="4">
        <v>45896</v>
      </c>
      <c r="C491" t="s">
        <v>564</v>
      </c>
      <c r="D491" t="str">
        <f t="shared" si="63"/>
        <v>Ava Thomas</v>
      </c>
      <c r="E491" t="s">
        <v>621</v>
      </c>
      <c r="F491" t="str">
        <f t="shared" si="64"/>
        <v>Canada</v>
      </c>
      <c r="G491" t="s">
        <v>637</v>
      </c>
      <c r="H491" t="s">
        <v>641</v>
      </c>
      <c r="I491">
        <v>3</v>
      </c>
      <c r="J491" s="1">
        <v>175</v>
      </c>
      <c r="K491" s="1">
        <v>105</v>
      </c>
      <c r="L491" s="2">
        <v>0.05</v>
      </c>
      <c r="M491" t="s">
        <v>645</v>
      </c>
      <c r="N491" t="str">
        <f t="shared" si="65"/>
        <v>Bank Transfer</v>
      </c>
      <c r="O491" t="s">
        <v>650</v>
      </c>
      <c r="P491" t="str">
        <f t="shared" si="66"/>
        <v>Cancelled</v>
      </c>
      <c r="Q491" t="str">
        <f t="shared" si="67"/>
        <v>Valid</v>
      </c>
      <c r="R491" t="s">
        <v>657</v>
      </c>
      <c r="S491">
        <f t="shared" si="68"/>
        <v>498.75</v>
      </c>
      <c r="T491">
        <f t="shared" si="69"/>
        <v>315</v>
      </c>
      <c r="U491">
        <f t="shared" si="70"/>
        <v>183.75</v>
      </c>
      <c r="V491" s="8">
        <f t="shared" si="71"/>
        <v>0.36842105263157893</v>
      </c>
    </row>
    <row r="492" spans="1:22" x14ac:dyDescent="0.3">
      <c r="A492" t="s">
        <v>503</v>
      </c>
      <c r="B492" s="4">
        <v>45755</v>
      </c>
      <c r="C492" t="s">
        <v>580</v>
      </c>
      <c r="D492" t="str">
        <f t="shared" si="63"/>
        <v>Benjamin Walker</v>
      </c>
      <c r="E492" t="s">
        <v>615</v>
      </c>
      <c r="F492" t="str">
        <f t="shared" si="64"/>
        <v>Canada</v>
      </c>
      <c r="G492" t="s">
        <v>628</v>
      </c>
      <c r="H492" t="s">
        <v>639</v>
      </c>
      <c r="I492">
        <v>5</v>
      </c>
      <c r="J492" s="1">
        <v>18</v>
      </c>
      <c r="K492" s="1">
        <v>7</v>
      </c>
      <c r="L492" s="2">
        <v>0.1</v>
      </c>
      <c r="M492" t="s">
        <v>645</v>
      </c>
      <c r="N492" t="str">
        <f t="shared" si="65"/>
        <v>Bank Transfer</v>
      </c>
      <c r="O492" t="s">
        <v>648</v>
      </c>
      <c r="P492" t="str">
        <f t="shared" si="66"/>
        <v>Completed</v>
      </c>
      <c r="Q492" t="str">
        <f t="shared" si="67"/>
        <v>Valid</v>
      </c>
      <c r="R492" t="s">
        <v>672</v>
      </c>
      <c r="S492">
        <f t="shared" si="68"/>
        <v>81</v>
      </c>
      <c r="T492">
        <f t="shared" si="69"/>
        <v>35</v>
      </c>
      <c r="U492">
        <f t="shared" si="70"/>
        <v>46</v>
      </c>
      <c r="V492" s="8">
        <f t="shared" si="71"/>
        <v>0.5679012345679012</v>
      </c>
    </row>
    <row r="493" spans="1:22" x14ac:dyDescent="0.3">
      <c r="A493" t="s">
        <v>504</v>
      </c>
      <c r="B493" s="4">
        <v>45715</v>
      </c>
      <c r="C493" t="s">
        <v>573</v>
      </c>
      <c r="D493" t="str">
        <f t="shared" si="63"/>
        <v>Noah Brown</v>
      </c>
      <c r="E493" t="s">
        <v>614</v>
      </c>
      <c r="F493" t="str">
        <f t="shared" si="64"/>
        <v>Australia</v>
      </c>
      <c r="G493" t="s">
        <v>633</v>
      </c>
      <c r="H493" t="s">
        <v>638</v>
      </c>
      <c r="I493">
        <v>3</v>
      </c>
      <c r="J493" s="1">
        <v>210</v>
      </c>
      <c r="K493" s="1">
        <v>125</v>
      </c>
      <c r="L493" s="2">
        <v>0</v>
      </c>
      <c r="M493" t="s">
        <v>642</v>
      </c>
      <c r="N493" t="s">
        <v>644</v>
      </c>
      <c r="O493" t="s">
        <v>651</v>
      </c>
      <c r="P493" t="str">
        <f t="shared" si="66"/>
        <v>Shipped</v>
      </c>
      <c r="Q493" t="str">
        <f t="shared" si="67"/>
        <v>Valid</v>
      </c>
      <c r="R493" t="s">
        <v>667</v>
      </c>
      <c r="S493">
        <f t="shared" si="68"/>
        <v>630</v>
      </c>
      <c r="T493">
        <f t="shared" si="69"/>
        <v>375</v>
      </c>
      <c r="U493">
        <f t="shared" si="70"/>
        <v>255</v>
      </c>
      <c r="V493" s="8">
        <f t="shared" si="71"/>
        <v>0.40476190476190477</v>
      </c>
    </row>
    <row r="494" spans="1:22" x14ac:dyDescent="0.3">
      <c r="A494" t="s">
        <v>505</v>
      </c>
      <c r="B494" s="4">
        <v>45978</v>
      </c>
      <c r="C494" t="s">
        <v>564</v>
      </c>
      <c r="D494" t="str">
        <f t="shared" si="63"/>
        <v>Ava Thomas</v>
      </c>
      <c r="E494" t="s">
        <v>616</v>
      </c>
      <c r="F494" t="str">
        <f t="shared" si="64"/>
        <v>United Kingdom</v>
      </c>
      <c r="G494" t="s">
        <v>637</v>
      </c>
      <c r="H494" t="s">
        <v>641</v>
      </c>
      <c r="I494">
        <v>4</v>
      </c>
      <c r="J494" s="1">
        <v>175</v>
      </c>
      <c r="K494" s="1">
        <v>105</v>
      </c>
      <c r="L494" s="2">
        <v>0</v>
      </c>
      <c r="M494" t="s">
        <v>647</v>
      </c>
      <c r="N494" t="str">
        <f t="shared" si="65"/>
        <v>Credit Card</v>
      </c>
      <c r="O494" t="s">
        <v>650</v>
      </c>
      <c r="P494" t="str">
        <f t="shared" si="66"/>
        <v>Cancelled</v>
      </c>
      <c r="Q494" t="str">
        <f t="shared" si="67"/>
        <v>Valid</v>
      </c>
      <c r="R494" t="s">
        <v>657</v>
      </c>
      <c r="S494">
        <f t="shared" si="68"/>
        <v>700</v>
      </c>
      <c r="T494">
        <f t="shared" si="69"/>
        <v>420</v>
      </c>
      <c r="U494">
        <f t="shared" si="70"/>
        <v>280</v>
      </c>
      <c r="V494" s="8">
        <f t="shared" si="71"/>
        <v>0.4</v>
      </c>
    </row>
    <row r="495" spans="1:22" x14ac:dyDescent="0.3">
      <c r="A495" t="s">
        <v>506</v>
      </c>
      <c r="B495" s="4">
        <v>45857</v>
      </c>
      <c r="C495" t="s">
        <v>568</v>
      </c>
      <c r="D495" t="str">
        <f t="shared" si="63"/>
        <v>Daniel Harris</v>
      </c>
      <c r="E495" t="s">
        <v>602</v>
      </c>
      <c r="F495" t="str">
        <f t="shared" si="64"/>
        <v>Australia</v>
      </c>
      <c r="G495" t="s">
        <v>626</v>
      </c>
      <c r="H495" t="s">
        <v>638</v>
      </c>
      <c r="I495">
        <v>5</v>
      </c>
      <c r="J495" s="1">
        <v>36</v>
      </c>
      <c r="K495" s="1">
        <v>16</v>
      </c>
      <c r="L495" s="2">
        <v>0.1</v>
      </c>
      <c r="M495" t="s">
        <v>644</v>
      </c>
      <c r="N495" t="s">
        <v>644</v>
      </c>
      <c r="O495" t="s">
        <v>648</v>
      </c>
      <c r="P495" t="str">
        <f t="shared" si="66"/>
        <v>Completed</v>
      </c>
      <c r="Q495" t="str">
        <f t="shared" si="67"/>
        <v>Valid</v>
      </c>
      <c r="R495" t="s">
        <v>666</v>
      </c>
      <c r="S495">
        <f t="shared" si="68"/>
        <v>162</v>
      </c>
      <c r="T495">
        <f t="shared" si="69"/>
        <v>80</v>
      </c>
      <c r="U495">
        <f t="shared" si="70"/>
        <v>82</v>
      </c>
      <c r="V495" s="8">
        <f t="shared" si="71"/>
        <v>0.50617283950617287</v>
      </c>
    </row>
    <row r="496" spans="1:22" x14ac:dyDescent="0.3">
      <c r="A496" t="s">
        <v>507</v>
      </c>
      <c r="B496" s="4">
        <v>45768</v>
      </c>
      <c r="C496" t="s">
        <v>573</v>
      </c>
      <c r="D496" t="str">
        <f t="shared" si="63"/>
        <v>Noah Brown</v>
      </c>
      <c r="E496" t="s">
        <v>625</v>
      </c>
      <c r="F496" t="str">
        <f t="shared" si="64"/>
        <v>United States</v>
      </c>
      <c r="G496" t="s">
        <v>631</v>
      </c>
      <c r="H496" t="s">
        <v>641</v>
      </c>
      <c r="I496">
        <v>4</v>
      </c>
      <c r="J496" s="1">
        <v>85</v>
      </c>
      <c r="K496" s="1">
        <v>44</v>
      </c>
      <c r="L496" s="2">
        <v>0.15</v>
      </c>
      <c r="M496" t="s">
        <v>647</v>
      </c>
      <c r="N496" t="str">
        <f t="shared" si="65"/>
        <v>Credit Card</v>
      </c>
      <c r="O496" t="s">
        <v>649</v>
      </c>
      <c r="P496" t="str">
        <f t="shared" si="66"/>
        <v>Pending</v>
      </c>
      <c r="Q496" t="str">
        <f t="shared" si="67"/>
        <v>Valid</v>
      </c>
      <c r="R496" t="s">
        <v>667</v>
      </c>
      <c r="S496">
        <f t="shared" si="68"/>
        <v>289</v>
      </c>
      <c r="T496">
        <f t="shared" si="69"/>
        <v>176</v>
      </c>
      <c r="U496">
        <f t="shared" si="70"/>
        <v>113</v>
      </c>
      <c r="V496" s="8">
        <f t="shared" si="71"/>
        <v>0.39100346020761245</v>
      </c>
    </row>
    <row r="497" spans="1:22" x14ac:dyDescent="0.3">
      <c r="A497" t="s">
        <v>508</v>
      </c>
      <c r="B497" s="4">
        <v>45701</v>
      </c>
      <c r="C497" t="s">
        <v>573</v>
      </c>
      <c r="D497" t="str">
        <f t="shared" si="63"/>
        <v>Noah Brown</v>
      </c>
      <c r="E497" t="s">
        <v>621</v>
      </c>
      <c r="F497" t="str">
        <f t="shared" si="64"/>
        <v>Canada</v>
      </c>
      <c r="G497" t="s">
        <v>628</v>
      </c>
      <c r="H497" t="s">
        <v>639</v>
      </c>
      <c r="I497">
        <v>3</v>
      </c>
      <c r="J497" s="1">
        <v>18</v>
      </c>
      <c r="K497" s="1">
        <v>7</v>
      </c>
      <c r="L497" s="2">
        <v>0</v>
      </c>
      <c r="M497" t="s">
        <v>643</v>
      </c>
      <c r="N497" t="str">
        <f t="shared" si="65"/>
        <v>Credit Card</v>
      </c>
      <c r="O497" t="s">
        <v>650</v>
      </c>
      <c r="P497" t="str">
        <f t="shared" si="66"/>
        <v>Cancelled</v>
      </c>
      <c r="Q497" t="str">
        <f t="shared" si="67"/>
        <v>Valid</v>
      </c>
      <c r="R497" t="s">
        <v>667</v>
      </c>
      <c r="S497">
        <f t="shared" si="68"/>
        <v>54</v>
      </c>
      <c r="T497">
        <f t="shared" si="69"/>
        <v>21</v>
      </c>
      <c r="U497">
        <f t="shared" si="70"/>
        <v>33</v>
      </c>
      <c r="V497" s="8">
        <f t="shared" si="71"/>
        <v>0.61111111111111116</v>
      </c>
    </row>
    <row r="498" spans="1:22" x14ac:dyDescent="0.3">
      <c r="A498" t="s">
        <v>509</v>
      </c>
      <c r="B498" s="4">
        <v>45829</v>
      </c>
      <c r="C498" t="s">
        <v>571</v>
      </c>
      <c r="D498" t="str">
        <f t="shared" si="63"/>
        <v>Henry Clark</v>
      </c>
      <c r="E498" t="s">
        <v>600</v>
      </c>
      <c r="F498" t="str">
        <f t="shared" si="64"/>
        <v>Australia</v>
      </c>
      <c r="G498" t="s">
        <v>634</v>
      </c>
      <c r="H498" t="s">
        <v>641</v>
      </c>
      <c r="I498">
        <v>5</v>
      </c>
      <c r="J498" s="1">
        <v>59</v>
      </c>
      <c r="K498" s="1">
        <v>30</v>
      </c>
      <c r="L498" s="2">
        <v>0</v>
      </c>
      <c r="M498" t="s">
        <v>644</v>
      </c>
      <c r="N498" t="s">
        <v>644</v>
      </c>
      <c r="O498" t="s">
        <v>649</v>
      </c>
      <c r="P498" t="str">
        <f t="shared" si="66"/>
        <v>Pending</v>
      </c>
      <c r="Q498" t="str">
        <f t="shared" si="67"/>
        <v>Valid</v>
      </c>
      <c r="R498" t="s">
        <v>664</v>
      </c>
      <c r="S498">
        <f t="shared" si="68"/>
        <v>295</v>
      </c>
      <c r="T498">
        <f t="shared" si="69"/>
        <v>150</v>
      </c>
      <c r="U498">
        <f t="shared" si="70"/>
        <v>145</v>
      </c>
      <c r="V498" s="8">
        <f t="shared" si="71"/>
        <v>0.49152542372881358</v>
      </c>
    </row>
    <row r="499" spans="1:22" x14ac:dyDescent="0.3">
      <c r="A499" t="s">
        <v>510</v>
      </c>
      <c r="B499" s="4">
        <v>45982</v>
      </c>
      <c r="C499" t="s">
        <v>580</v>
      </c>
      <c r="D499" t="str">
        <f t="shared" si="63"/>
        <v>Benjamin Walker</v>
      </c>
      <c r="E499" t="s">
        <v>607</v>
      </c>
      <c r="F499" t="str">
        <f t="shared" si="64"/>
        <v>Germany</v>
      </c>
      <c r="G499" t="s">
        <v>628</v>
      </c>
      <c r="H499" t="s">
        <v>639</v>
      </c>
      <c r="I499">
        <v>5</v>
      </c>
      <c r="J499" s="1">
        <v>18</v>
      </c>
      <c r="K499" s="1">
        <v>7</v>
      </c>
      <c r="L499" s="2">
        <v>0</v>
      </c>
      <c r="M499" t="s">
        <v>647</v>
      </c>
      <c r="N499" t="str">
        <f t="shared" si="65"/>
        <v>Credit Card</v>
      </c>
      <c r="O499" t="s">
        <v>648</v>
      </c>
      <c r="P499" t="str">
        <f t="shared" si="66"/>
        <v>Completed</v>
      </c>
      <c r="Q499" t="str">
        <f t="shared" si="67"/>
        <v>Valid</v>
      </c>
      <c r="R499" t="s">
        <v>672</v>
      </c>
      <c r="S499">
        <f t="shared" si="68"/>
        <v>90</v>
      </c>
      <c r="T499">
        <f t="shared" si="69"/>
        <v>35</v>
      </c>
      <c r="U499">
        <f t="shared" si="70"/>
        <v>55</v>
      </c>
      <c r="V499" s="8">
        <f t="shared" si="71"/>
        <v>0.61111111111111116</v>
      </c>
    </row>
    <row r="500" spans="1:22" x14ac:dyDescent="0.3">
      <c r="A500" t="s">
        <v>511</v>
      </c>
      <c r="B500" s="4">
        <v>45913</v>
      </c>
      <c r="C500" t="s">
        <v>573</v>
      </c>
      <c r="D500" t="str">
        <f t="shared" si="63"/>
        <v>Noah Brown</v>
      </c>
      <c r="E500" t="s">
        <v>619</v>
      </c>
      <c r="F500" t="str">
        <f t="shared" si="64"/>
        <v>India</v>
      </c>
      <c r="G500" t="s">
        <v>631</v>
      </c>
      <c r="H500" t="s">
        <v>641</v>
      </c>
      <c r="I500">
        <v>1</v>
      </c>
      <c r="J500" s="1">
        <v>85</v>
      </c>
      <c r="K500" s="1">
        <v>44</v>
      </c>
      <c r="L500" s="2">
        <v>0.1</v>
      </c>
      <c r="M500" t="s">
        <v>646</v>
      </c>
      <c r="N500" t="str">
        <f t="shared" si="65"/>
        <v>Debit Card</v>
      </c>
      <c r="O500" t="s">
        <v>648</v>
      </c>
      <c r="P500" t="str">
        <f t="shared" si="66"/>
        <v>Completed</v>
      </c>
      <c r="Q500" t="str">
        <f t="shared" si="67"/>
        <v>Valid</v>
      </c>
      <c r="R500" t="s">
        <v>667</v>
      </c>
      <c r="S500">
        <f t="shared" si="68"/>
        <v>76.5</v>
      </c>
      <c r="T500">
        <f t="shared" si="69"/>
        <v>44</v>
      </c>
      <c r="U500">
        <f t="shared" si="70"/>
        <v>32.5</v>
      </c>
      <c r="V500" s="8">
        <f t="shared" si="71"/>
        <v>0.42483660130718953</v>
      </c>
    </row>
    <row r="501" spans="1:22" x14ac:dyDescent="0.3">
      <c r="A501" t="s">
        <v>512</v>
      </c>
      <c r="B501" s="4">
        <v>45683</v>
      </c>
      <c r="C501" t="s">
        <v>568</v>
      </c>
      <c r="D501" t="str">
        <f t="shared" si="63"/>
        <v>Daniel Harris</v>
      </c>
      <c r="E501" t="s">
        <v>613</v>
      </c>
      <c r="F501" t="str">
        <f t="shared" si="64"/>
        <v>Singapore</v>
      </c>
      <c r="G501" t="s">
        <v>629</v>
      </c>
      <c r="H501" t="s">
        <v>640</v>
      </c>
      <c r="I501">
        <v>5</v>
      </c>
      <c r="J501" s="1">
        <v>92</v>
      </c>
      <c r="K501" s="1">
        <v>53</v>
      </c>
      <c r="L501" s="2">
        <v>0</v>
      </c>
      <c r="M501" t="s">
        <v>642</v>
      </c>
      <c r="N501" t="s">
        <v>644</v>
      </c>
      <c r="O501" t="s">
        <v>648</v>
      </c>
      <c r="P501" t="str">
        <f t="shared" si="66"/>
        <v>Completed</v>
      </c>
      <c r="Q501" t="str">
        <f t="shared" si="67"/>
        <v>Valid</v>
      </c>
      <c r="R501" t="s">
        <v>666</v>
      </c>
      <c r="S501">
        <f t="shared" si="68"/>
        <v>460</v>
      </c>
      <c r="T501">
        <f t="shared" si="69"/>
        <v>265</v>
      </c>
      <c r="U501">
        <f t="shared" si="70"/>
        <v>195</v>
      </c>
      <c r="V501" s="8">
        <f t="shared" si="71"/>
        <v>0.42391304347826086</v>
      </c>
    </row>
    <row r="502" spans="1:22" x14ac:dyDescent="0.3">
      <c r="A502" t="s">
        <v>513</v>
      </c>
      <c r="B502" s="4">
        <v>45715</v>
      </c>
      <c r="C502" t="s">
        <v>575</v>
      </c>
      <c r="D502" t="str">
        <f t="shared" si="63"/>
        <v>Lucas Jackson</v>
      </c>
      <c r="E502" t="s">
        <v>617</v>
      </c>
      <c r="F502" t="str">
        <f t="shared" si="64"/>
        <v>Germany</v>
      </c>
      <c r="G502" t="s">
        <v>627</v>
      </c>
      <c r="H502" t="s">
        <v>639</v>
      </c>
      <c r="I502">
        <v>5</v>
      </c>
      <c r="J502" s="1">
        <v>38</v>
      </c>
      <c r="K502" s="1">
        <v>17</v>
      </c>
      <c r="L502" s="2">
        <v>0</v>
      </c>
      <c r="M502" t="s">
        <v>647</v>
      </c>
      <c r="N502" t="str">
        <f t="shared" si="65"/>
        <v>Credit Card</v>
      </c>
      <c r="O502" t="s">
        <v>648</v>
      </c>
      <c r="P502" t="str">
        <f t="shared" si="66"/>
        <v>Completed</v>
      </c>
      <c r="Q502" t="str">
        <f t="shared" si="67"/>
        <v>Valid</v>
      </c>
      <c r="R502" t="s">
        <v>668</v>
      </c>
      <c r="S502">
        <f t="shared" si="68"/>
        <v>190</v>
      </c>
      <c r="T502">
        <f t="shared" si="69"/>
        <v>85</v>
      </c>
      <c r="U502">
        <f t="shared" si="70"/>
        <v>105</v>
      </c>
      <c r="V502" s="8">
        <f t="shared" si="71"/>
        <v>0.55263157894736847</v>
      </c>
    </row>
    <row r="503" spans="1:22" x14ac:dyDescent="0.3">
      <c r="A503" t="s">
        <v>514</v>
      </c>
      <c r="B503" s="4">
        <v>45776</v>
      </c>
      <c r="C503" t="s">
        <v>584</v>
      </c>
      <c r="D503" t="str">
        <f t="shared" si="63"/>
        <v>James Thompson</v>
      </c>
      <c r="E503" t="s">
        <v>622</v>
      </c>
      <c r="F503" t="str">
        <f t="shared" si="64"/>
        <v>United Arab Emirates</v>
      </c>
      <c r="G503" t="s">
        <v>630</v>
      </c>
      <c r="H503" t="s">
        <v>640</v>
      </c>
      <c r="I503">
        <v>4</v>
      </c>
      <c r="J503" s="1">
        <v>78</v>
      </c>
      <c r="K503" s="1">
        <v>45</v>
      </c>
      <c r="L503" s="2">
        <v>0</v>
      </c>
      <c r="M503" t="s">
        <v>643</v>
      </c>
      <c r="N503" t="str">
        <f t="shared" si="65"/>
        <v>Credit Card</v>
      </c>
      <c r="O503" t="s">
        <v>651</v>
      </c>
      <c r="P503" t="str">
        <f t="shared" si="66"/>
        <v>Shipped</v>
      </c>
      <c r="Q503" t="str">
        <f t="shared" si="67"/>
        <v>Valid</v>
      </c>
      <c r="R503" t="s">
        <v>675</v>
      </c>
      <c r="S503">
        <f t="shared" si="68"/>
        <v>312</v>
      </c>
      <c r="T503">
        <f t="shared" si="69"/>
        <v>180</v>
      </c>
      <c r="U503">
        <f t="shared" si="70"/>
        <v>132</v>
      </c>
      <c r="V503" s="8">
        <f t="shared" si="71"/>
        <v>0.42307692307692307</v>
      </c>
    </row>
    <row r="504" spans="1:22" x14ac:dyDescent="0.3">
      <c r="A504" t="s">
        <v>515</v>
      </c>
      <c r="B504" s="4">
        <v>45678</v>
      </c>
      <c r="C504" t="s">
        <v>584</v>
      </c>
      <c r="D504" t="str">
        <f t="shared" si="63"/>
        <v>James Thompson</v>
      </c>
      <c r="E504" t="s">
        <v>621</v>
      </c>
      <c r="F504" t="str">
        <f t="shared" si="64"/>
        <v>Canada</v>
      </c>
      <c r="G504" t="s">
        <v>627</v>
      </c>
      <c r="H504" t="s">
        <v>639</v>
      </c>
      <c r="I504">
        <v>3</v>
      </c>
      <c r="J504" s="1">
        <v>38</v>
      </c>
      <c r="K504" s="1">
        <v>17</v>
      </c>
      <c r="L504" s="2">
        <v>0.1</v>
      </c>
      <c r="M504" t="s">
        <v>643</v>
      </c>
      <c r="N504" t="str">
        <f t="shared" si="65"/>
        <v>Credit Card</v>
      </c>
      <c r="O504" t="s">
        <v>648</v>
      </c>
      <c r="P504" t="str">
        <f t="shared" si="66"/>
        <v>Completed</v>
      </c>
      <c r="Q504" t="str">
        <f t="shared" si="67"/>
        <v>Valid</v>
      </c>
      <c r="R504" t="s">
        <v>675</v>
      </c>
      <c r="S504">
        <f t="shared" si="68"/>
        <v>102.60000000000001</v>
      </c>
      <c r="T504">
        <f t="shared" si="69"/>
        <v>51</v>
      </c>
      <c r="U504">
        <f t="shared" si="70"/>
        <v>51.600000000000009</v>
      </c>
      <c r="V504" s="8">
        <f t="shared" si="71"/>
        <v>0.50292397660818722</v>
      </c>
    </row>
    <row r="505" spans="1:22" x14ac:dyDescent="0.3">
      <c r="A505" t="s">
        <v>516</v>
      </c>
      <c r="B505" s="4">
        <v>45839</v>
      </c>
      <c r="C505" t="s">
        <v>582</v>
      </c>
      <c r="D505" t="str">
        <f t="shared" si="63"/>
        <v>Alex Morgan</v>
      </c>
      <c r="E505" t="s">
        <v>610</v>
      </c>
      <c r="F505" t="str">
        <f t="shared" si="64"/>
        <v>United Arab Emirates</v>
      </c>
      <c r="G505" t="s">
        <v>637</v>
      </c>
      <c r="H505" t="s">
        <v>641</v>
      </c>
      <c r="I505">
        <v>5</v>
      </c>
      <c r="J505" s="1">
        <v>175</v>
      </c>
      <c r="K505" s="1">
        <v>105</v>
      </c>
      <c r="L505" s="2">
        <v>0.05</v>
      </c>
      <c r="M505" t="s">
        <v>643</v>
      </c>
      <c r="N505" t="str">
        <f t="shared" si="65"/>
        <v>Credit Card</v>
      </c>
      <c r="O505" t="s">
        <v>648</v>
      </c>
      <c r="P505" t="str">
        <f t="shared" si="66"/>
        <v>Completed</v>
      </c>
      <c r="Q505" t="str">
        <f t="shared" si="67"/>
        <v>Valid</v>
      </c>
      <c r="R505" t="s">
        <v>658</v>
      </c>
      <c r="S505">
        <f t="shared" si="68"/>
        <v>831.25</v>
      </c>
      <c r="T505">
        <f t="shared" si="69"/>
        <v>525</v>
      </c>
      <c r="U505">
        <f t="shared" si="70"/>
        <v>306.25</v>
      </c>
      <c r="V505" s="8">
        <f t="shared" si="71"/>
        <v>0.36842105263157893</v>
      </c>
    </row>
    <row r="506" spans="1:22" x14ac:dyDescent="0.3">
      <c r="A506" t="s">
        <v>517</v>
      </c>
      <c r="B506" s="4">
        <v>45924</v>
      </c>
      <c r="C506" t="s">
        <v>582</v>
      </c>
      <c r="D506" t="str">
        <f t="shared" si="63"/>
        <v>Alex Morgan</v>
      </c>
      <c r="E506" t="s">
        <v>608</v>
      </c>
      <c r="F506" t="str">
        <f t="shared" si="64"/>
        <v>India</v>
      </c>
      <c r="G506" t="s">
        <v>631</v>
      </c>
      <c r="H506" t="s">
        <v>641</v>
      </c>
      <c r="I506">
        <v>3</v>
      </c>
      <c r="J506" s="1">
        <v>85</v>
      </c>
      <c r="K506" s="1">
        <v>44</v>
      </c>
      <c r="L506" s="2">
        <v>0.1</v>
      </c>
      <c r="M506" t="s">
        <v>645</v>
      </c>
      <c r="N506" t="str">
        <f t="shared" si="65"/>
        <v>Bank Transfer</v>
      </c>
      <c r="O506" t="s">
        <v>649</v>
      </c>
      <c r="P506" t="str">
        <f t="shared" si="66"/>
        <v>Pending</v>
      </c>
      <c r="Q506" t="str">
        <f t="shared" si="67"/>
        <v>Valid</v>
      </c>
      <c r="R506" t="s">
        <v>658</v>
      </c>
      <c r="S506">
        <f t="shared" si="68"/>
        <v>229.5</v>
      </c>
      <c r="T506">
        <f t="shared" si="69"/>
        <v>132</v>
      </c>
      <c r="U506">
        <f t="shared" si="70"/>
        <v>97.5</v>
      </c>
      <c r="V506" s="8">
        <f t="shared" si="71"/>
        <v>0.42483660130718953</v>
      </c>
    </row>
    <row r="507" spans="1:22" x14ac:dyDescent="0.3">
      <c r="A507" t="s">
        <v>518</v>
      </c>
      <c r="B507" s="4">
        <v>45760</v>
      </c>
      <c r="C507" t="s">
        <v>564</v>
      </c>
      <c r="D507" t="str">
        <f t="shared" si="63"/>
        <v>Ava Thomas</v>
      </c>
      <c r="E507" t="s">
        <v>600</v>
      </c>
      <c r="F507" t="str">
        <f t="shared" si="64"/>
        <v>Australia</v>
      </c>
      <c r="G507" t="s">
        <v>637</v>
      </c>
      <c r="H507" t="s">
        <v>641</v>
      </c>
      <c r="I507">
        <v>5</v>
      </c>
      <c r="J507" s="1">
        <v>175</v>
      </c>
      <c r="K507" s="1">
        <v>105</v>
      </c>
      <c r="L507" s="2">
        <v>0</v>
      </c>
      <c r="M507" t="s">
        <v>645</v>
      </c>
      <c r="N507" t="str">
        <f t="shared" si="65"/>
        <v>Bank Transfer</v>
      </c>
      <c r="O507" t="s">
        <v>648</v>
      </c>
      <c r="P507" t="str">
        <f t="shared" si="66"/>
        <v>Completed</v>
      </c>
      <c r="Q507" t="str">
        <f t="shared" si="67"/>
        <v>Valid</v>
      </c>
      <c r="R507" t="s">
        <v>657</v>
      </c>
      <c r="S507">
        <f t="shared" si="68"/>
        <v>875</v>
      </c>
      <c r="T507">
        <f t="shared" si="69"/>
        <v>525</v>
      </c>
      <c r="U507">
        <f t="shared" si="70"/>
        <v>350</v>
      </c>
      <c r="V507" s="8">
        <f t="shared" si="71"/>
        <v>0.4</v>
      </c>
    </row>
    <row r="508" spans="1:22" x14ac:dyDescent="0.3">
      <c r="A508" t="s">
        <v>519</v>
      </c>
      <c r="B508" s="4">
        <v>45667</v>
      </c>
      <c r="C508" t="s">
        <v>584</v>
      </c>
      <c r="D508" t="str">
        <f t="shared" si="63"/>
        <v>James Thompson</v>
      </c>
      <c r="E508" t="s">
        <v>618</v>
      </c>
      <c r="F508" t="str">
        <f t="shared" si="64"/>
        <v>United Kingdom</v>
      </c>
      <c r="G508" t="s">
        <v>632</v>
      </c>
      <c r="H508" t="s">
        <v>639</v>
      </c>
      <c r="I508">
        <v>1</v>
      </c>
      <c r="J508" s="1">
        <v>42</v>
      </c>
      <c r="K508" s="1">
        <v>21</v>
      </c>
      <c r="L508" s="2">
        <v>0</v>
      </c>
      <c r="M508" t="s">
        <v>646</v>
      </c>
      <c r="N508" t="str">
        <f t="shared" si="65"/>
        <v>Debit Card</v>
      </c>
      <c r="O508" t="s">
        <v>648</v>
      </c>
      <c r="P508" t="str">
        <f t="shared" si="66"/>
        <v>Completed</v>
      </c>
      <c r="Q508" t="str">
        <f t="shared" si="67"/>
        <v>Valid</v>
      </c>
      <c r="R508" t="s">
        <v>675</v>
      </c>
      <c r="S508">
        <f t="shared" si="68"/>
        <v>42</v>
      </c>
      <c r="T508">
        <f t="shared" si="69"/>
        <v>21</v>
      </c>
      <c r="U508">
        <f t="shared" si="70"/>
        <v>21</v>
      </c>
      <c r="V508" s="8">
        <f t="shared" si="71"/>
        <v>0.5</v>
      </c>
    </row>
    <row r="509" spans="1:22" x14ac:dyDescent="0.3">
      <c r="A509" t="s">
        <v>520</v>
      </c>
      <c r="B509" s="4">
        <v>45871</v>
      </c>
      <c r="C509" t="s">
        <v>580</v>
      </c>
      <c r="D509" t="str">
        <f t="shared" si="63"/>
        <v>Benjamin Walker</v>
      </c>
      <c r="E509" t="s">
        <v>620</v>
      </c>
      <c r="F509" t="str">
        <f t="shared" si="64"/>
        <v>India</v>
      </c>
      <c r="G509" t="s">
        <v>628</v>
      </c>
      <c r="H509" t="s">
        <v>639</v>
      </c>
      <c r="I509">
        <v>4</v>
      </c>
      <c r="J509" s="1">
        <v>18</v>
      </c>
      <c r="K509" s="1">
        <v>7</v>
      </c>
      <c r="L509" s="2">
        <v>0</v>
      </c>
      <c r="M509" t="s">
        <v>645</v>
      </c>
      <c r="N509" t="str">
        <f t="shared" si="65"/>
        <v>Bank Transfer</v>
      </c>
      <c r="O509" t="s">
        <v>649</v>
      </c>
      <c r="P509" t="str">
        <f t="shared" si="66"/>
        <v>Pending</v>
      </c>
      <c r="Q509" t="str">
        <f t="shared" si="67"/>
        <v>Valid</v>
      </c>
      <c r="R509" t="s">
        <v>672</v>
      </c>
      <c r="S509">
        <f t="shared" si="68"/>
        <v>72</v>
      </c>
      <c r="T509">
        <f t="shared" si="69"/>
        <v>28</v>
      </c>
      <c r="U509">
        <f t="shared" si="70"/>
        <v>44</v>
      </c>
      <c r="V509" s="8">
        <f t="shared" si="71"/>
        <v>0.61111111111111116</v>
      </c>
    </row>
    <row r="510" spans="1:22" x14ac:dyDescent="0.3">
      <c r="A510" t="s">
        <v>521</v>
      </c>
      <c r="B510" s="4">
        <v>45820</v>
      </c>
      <c r="C510" t="s">
        <v>582</v>
      </c>
      <c r="D510" t="str">
        <f t="shared" si="63"/>
        <v>Alex Morgan</v>
      </c>
      <c r="E510" t="s">
        <v>622</v>
      </c>
      <c r="F510" t="str">
        <f t="shared" si="64"/>
        <v>United Arab Emirates</v>
      </c>
      <c r="G510" t="s">
        <v>627</v>
      </c>
      <c r="H510" t="s">
        <v>639</v>
      </c>
      <c r="I510">
        <v>5</v>
      </c>
      <c r="J510" s="1">
        <v>38</v>
      </c>
      <c r="K510" s="1">
        <v>17</v>
      </c>
      <c r="L510" s="2">
        <v>0.1</v>
      </c>
      <c r="M510" t="s">
        <v>645</v>
      </c>
      <c r="N510" t="str">
        <f t="shared" si="65"/>
        <v>Bank Transfer</v>
      </c>
      <c r="O510" t="s">
        <v>650</v>
      </c>
      <c r="P510" t="str">
        <f t="shared" si="66"/>
        <v>Cancelled</v>
      </c>
      <c r="Q510" t="str">
        <f t="shared" si="67"/>
        <v>Valid</v>
      </c>
      <c r="R510" t="s">
        <v>658</v>
      </c>
      <c r="S510">
        <f t="shared" si="68"/>
        <v>171</v>
      </c>
      <c r="T510">
        <f t="shared" si="69"/>
        <v>85</v>
      </c>
      <c r="U510">
        <f t="shared" si="70"/>
        <v>86</v>
      </c>
      <c r="V510" s="8">
        <f t="shared" si="71"/>
        <v>0.50292397660818711</v>
      </c>
    </row>
    <row r="511" spans="1:22" x14ac:dyDescent="0.3">
      <c r="A511" t="s">
        <v>522</v>
      </c>
      <c r="B511" s="4">
        <v>45761</v>
      </c>
      <c r="C511" t="s">
        <v>577</v>
      </c>
      <c r="D511" t="str">
        <f t="shared" si="63"/>
        <v>Emma Wilson</v>
      </c>
      <c r="E511" t="s">
        <v>611</v>
      </c>
      <c r="F511" t="str">
        <f t="shared" si="64"/>
        <v>United States</v>
      </c>
      <c r="G511" t="s">
        <v>628</v>
      </c>
      <c r="H511" t="s">
        <v>639</v>
      </c>
      <c r="I511">
        <v>1</v>
      </c>
      <c r="J511" s="1">
        <v>18</v>
      </c>
      <c r="K511" s="1">
        <v>7</v>
      </c>
      <c r="L511" s="2">
        <v>0.15</v>
      </c>
      <c r="M511" t="s">
        <v>645</v>
      </c>
      <c r="N511" t="str">
        <f t="shared" si="65"/>
        <v>Bank Transfer</v>
      </c>
      <c r="O511" t="s">
        <v>648</v>
      </c>
      <c r="P511" t="str">
        <f t="shared" si="66"/>
        <v>Completed</v>
      </c>
      <c r="Q511" t="str">
        <f t="shared" si="67"/>
        <v>Valid</v>
      </c>
      <c r="R511" t="s">
        <v>670</v>
      </c>
      <c r="S511">
        <f t="shared" si="68"/>
        <v>15.299999999999999</v>
      </c>
      <c r="T511">
        <f t="shared" si="69"/>
        <v>7</v>
      </c>
      <c r="U511">
        <f t="shared" si="70"/>
        <v>8.2999999999999989</v>
      </c>
      <c r="V511" s="8">
        <f t="shared" si="71"/>
        <v>0.54248366013071891</v>
      </c>
    </row>
    <row r="512" spans="1:22" x14ac:dyDescent="0.3">
      <c r="A512" t="s">
        <v>523</v>
      </c>
      <c r="B512" s="4">
        <v>45826</v>
      </c>
      <c r="C512" t="s">
        <v>571</v>
      </c>
      <c r="D512" t="str">
        <f t="shared" si="63"/>
        <v>Henry Clark</v>
      </c>
      <c r="E512" t="s">
        <v>599</v>
      </c>
      <c r="F512" t="str">
        <f t="shared" si="64"/>
        <v>United Arab Emirates</v>
      </c>
      <c r="G512" t="s">
        <v>637</v>
      </c>
      <c r="H512" t="s">
        <v>641</v>
      </c>
      <c r="I512">
        <v>5</v>
      </c>
      <c r="J512" s="1">
        <v>175</v>
      </c>
      <c r="K512" s="1">
        <v>105</v>
      </c>
      <c r="L512" s="2">
        <v>0</v>
      </c>
      <c r="M512" t="s">
        <v>646</v>
      </c>
      <c r="N512" t="str">
        <f t="shared" si="65"/>
        <v>Debit Card</v>
      </c>
      <c r="O512" t="s">
        <v>649</v>
      </c>
      <c r="P512" t="str">
        <f t="shared" si="66"/>
        <v>Pending</v>
      </c>
      <c r="Q512" t="str">
        <f t="shared" si="67"/>
        <v>Valid</v>
      </c>
      <c r="R512" t="s">
        <v>664</v>
      </c>
      <c r="S512">
        <f t="shared" si="68"/>
        <v>875</v>
      </c>
      <c r="T512">
        <f t="shared" si="69"/>
        <v>525</v>
      </c>
      <c r="U512">
        <f t="shared" si="70"/>
        <v>350</v>
      </c>
      <c r="V512" s="8">
        <f t="shared" si="71"/>
        <v>0.4</v>
      </c>
    </row>
    <row r="513" spans="1:22" x14ac:dyDescent="0.3">
      <c r="A513" t="s">
        <v>524</v>
      </c>
      <c r="B513" s="4">
        <v>45971</v>
      </c>
      <c r="C513" t="s">
        <v>569</v>
      </c>
      <c r="D513" t="str">
        <f t="shared" si="63"/>
        <v>Mia White</v>
      </c>
      <c r="E513" t="s">
        <v>619</v>
      </c>
      <c r="F513" t="str">
        <f t="shared" si="64"/>
        <v>India</v>
      </c>
      <c r="G513" t="s">
        <v>636</v>
      </c>
      <c r="H513" t="s">
        <v>641</v>
      </c>
      <c r="I513">
        <v>1</v>
      </c>
      <c r="J513" s="1">
        <v>245</v>
      </c>
      <c r="K513" s="1">
        <v>150</v>
      </c>
      <c r="L513" s="2">
        <v>0.1</v>
      </c>
      <c r="M513" t="s">
        <v>647</v>
      </c>
      <c r="N513" t="str">
        <f t="shared" si="65"/>
        <v>Credit Card</v>
      </c>
      <c r="O513" t="s">
        <v>649</v>
      </c>
      <c r="P513" t="str">
        <f t="shared" si="66"/>
        <v>Pending</v>
      </c>
      <c r="Q513" t="str">
        <f t="shared" si="67"/>
        <v>Valid</v>
      </c>
      <c r="R513" t="s">
        <v>662</v>
      </c>
      <c r="S513">
        <f t="shared" si="68"/>
        <v>220.5</v>
      </c>
      <c r="T513">
        <f t="shared" si="69"/>
        <v>150</v>
      </c>
      <c r="U513">
        <f t="shared" si="70"/>
        <v>70.5</v>
      </c>
      <c r="V513" s="8">
        <f t="shared" si="71"/>
        <v>0.31972789115646261</v>
      </c>
    </row>
    <row r="514" spans="1:22" x14ac:dyDescent="0.3">
      <c r="A514" t="s">
        <v>525</v>
      </c>
      <c r="B514" s="4">
        <v>45939</v>
      </c>
      <c r="C514" t="s">
        <v>563</v>
      </c>
      <c r="D514" t="str">
        <f t="shared" si="63"/>
        <v>Liam Miller</v>
      </c>
      <c r="E514" t="s">
        <v>614</v>
      </c>
      <c r="F514" t="str">
        <f t="shared" si="64"/>
        <v>Australia</v>
      </c>
      <c r="G514" t="s">
        <v>628</v>
      </c>
      <c r="H514" t="s">
        <v>639</v>
      </c>
      <c r="I514">
        <v>3</v>
      </c>
      <c r="J514" s="1">
        <v>18</v>
      </c>
      <c r="K514" s="1">
        <v>7</v>
      </c>
      <c r="L514" s="2">
        <v>0</v>
      </c>
      <c r="M514" t="s">
        <v>645</v>
      </c>
      <c r="N514" t="str">
        <f t="shared" si="65"/>
        <v>Bank Transfer</v>
      </c>
      <c r="O514" t="s">
        <v>648</v>
      </c>
      <c r="P514" t="str">
        <f t="shared" si="66"/>
        <v>Completed</v>
      </c>
      <c r="Q514" t="str">
        <f t="shared" si="67"/>
        <v>Valid</v>
      </c>
      <c r="R514" t="s">
        <v>656</v>
      </c>
      <c r="S514">
        <f t="shared" si="68"/>
        <v>54</v>
      </c>
      <c r="T514">
        <f t="shared" si="69"/>
        <v>21</v>
      </c>
      <c r="U514">
        <f t="shared" si="70"/>
        <v>33</v>
      </c>
      <c r="V514" s="8">
        <f t="shared" si="71"/>
        <v>0.61111111111111116</v>
      </c>
    </row>
    <row r="515" spans="1:22" x14ac:dyDescent="0.3">
      <c r="A515" t="s">
        <v>526</v>
      </c>
      <c r="B515" s="4">
        <v>46019</v>
      </c>
      <c r="C515" t="s">
        <v>564</v>
      </c>
      <c r="D515" t="str">
        <f t="shared" ref="D515:D551" si="72">PROPER(TRIM(C515))</f>
        <v>Ava Thomas</v>
      </c>
      <c r="E515" t="s">
        <v>623</v>
      </c>
      <c r="F515" t="str">
        <f t="shared" ref="F515:F551" si="73">IF(OR(UPPER(TRIM(E515))="AUS",UPPER(TRIM(E515))="AUSTRALIA"),"Australia",IF(OR(UPPER(TRIM(E515))="CAN",UPPER(TRIM(E515))="CANADA"),"Canada",IF(OR(UPPER(TRIM(E515))="DE",UPPER(TRIM(E515))="GERMANY"),"Germany",IF(OR(UPPER(TRIM(E515))="IN",UPPER(TRIM(E515))="INDIA"),"India",IF(OR(UPPER(TRIM(E515))="US",UPPER(TRIM(E515))="USA",UPPER(TRIM(E515))="UNITED STATES"),"United States",IF(OR(UPPER(TRIM(E515))="UK",UPPER(TRIM(E515))="U.K.",UPPER(TRIM(E515))="UNITED KINGDOM"),"United Kingdom",IF(OR(UPPER(TRIM(E515))="UAE",UPPER(TRIM(E515))="U.A.E.",UPPER(TRIM(E515))="UNITED ARAB EMIRATES"),"United Arab Emirates",IF(OR(UPPER(TRIM(E515))="SG",UPPER(TRIM(E515))="SINGAPORE"),"Singapore",TRIM(E515)))))))))</f>
        <v>United States</v>
      </c>
      <c r="G515" t="s">
        <v>635</v>
      </c>
      <c r="H515" t="s">
        <v>639</v>
      </c>
      <c r="I515">
        <v>5</v>
      </c>
      <c r="J515" s="1">
        <v>65</v>
      </c>
      <c r="K515" s="1">
        <v>31</v>
      </c>
      <c r="L515" s="2">
        <v>0.05</v>
      </c>
      <c r="M515" t="s">
        <v>647</v>
      </c>
      <c r="N515" t="str">
        <f t="shared" ref="N515:N551" si="74">PROPER(TRIM(M515))</f>
        <v>Credit Card</v>
      </c>
      <c r="O515" t="s">
        <v>648</v>
      </c>
      <c r="P515" t="str">
        <f t="shared" ref="P515:P551" si="75">PROPER(TRIM(O515))</f>
        <v>Completed</v>
      </c>
      <c r="Q515" t="str">
        <f t="shared" ref="Q515:Q551" si="76">IF(TRIM(R515)="","Missing",IF(AND(ISNUMBER(SEARCH("@",R515)),ISNUMBER(SEARCH(".",R515,SEARCH("@",R515)+2))),"Valid","Invalid"))</f>
        <v>Valid</v>
      </c>
      <c r="R515" t="s">
        <v>657</v>
      </c>
      <c r="S515">
        <f t="shared" ref="S515:S551" si="77">I515*J515*(1-L515)</f>
        <v>308.75</v>
      </c>
      <c r="T515">
        <f t="shared" ref="T515:T551" si="78">I515*K515</f>
        <v>155</v>
      </c>
      <c r="U515">
        <f t="shared" ref="U515:U551" si="79">S515-T515</f>
        <v>153.75</v>
      </c>
      <c r="V515" s="8">
        <f t="shared" ref="V515:V551" si="80">IF(S515=0,0,U515/S515)</f>
        <v>0.49797570850202427</v>
      </c>
    </row>
    <row r="516" spans="1:22" x14ac:dyDescent="0.3">
      <c r="A516" t="s">
        <v>527</v>
      </c>
      <c r="B516" s="4">
        <v>45661</v>
      </c>
      <c r="C516" t="s">
        <v>578</v>
      </c>
      <c r="D516" t="str">
        <f t="shared" si="72"/>
        <v>Ella Martin</v>
      </c>
      <c r="E516" t="s">
        <v>607</v>
      </c>
      <c r="F516" t="str">
        <f t="shared" si="73"/>
        <v>Germany</v>
      </c>
      <c r="G516" t="s">
        <v>632</v>
      </c>
      <c r="H516" t="s">
        <v>639</v>
      </c>
      <c r="I516">
        <v>3</v>
      </c>
      <c r="J516" s="1">
        <v>42</v>
      </c>
      <c r="K516" s="1">
        <v>21</v>
      </c>
      <c r="L516" s="2">
        <v>0</v>
      </c>
      <c r="M516" t="s">
        <v>642</v>
      </c>
      <c r="N516" t="s">
        <v>644</v>
      </c>
      <c r="O516" t="s">
        <v>650</v>
      </c>
      <c r="P516" t="str">
        <f t="shared" si="75"/>
        <v>Cancelled</v>
      </c>
      <c r="Q516" t="str">
        <f t="shared" si="76"/>
        <v>Valid</v>
      </c>
      <c r="R516" t="s">
        <v>671</v>
      </c>
      <c r="S516">
        <f t="shared" si="77"/>
        <v>126</v>
      </c>
      <c r="T516">
        <f t="shared" si="78"/>
        <v>63</v>
      </c>
      <c r="U516">
        <f t="shared" si="79"/>
        <v>63</v>
      </c>
      <c r="V516" s="8">
        <f t="shared" si="80"/>
        <v>0.5</v>
      </c>
    </row>
    <row r="517" spans="1:22" x14ac:dyDescent="0.3">
      <c r="A517" t="s">
        <v>528</v>
      </c>
      <c r="B517" s="4">
        <v>45694</v>
      </c>
      <c r="C517" t="s">
        <v>563</v>
      </c>
      <c r="D517" t="str">
        <f t="shared" si="72"/>
        <v>Liam Miller</v>
      </c>
      <c r="E517" t="s">
        <v>615</v>
      </c>
      <c r="F517" t="str">
        <f t="shared" si="73"/>
        <v>Canada</v>
      </c>
      <c r="G517" t="s">
        <v>637</v>
      </c>
      <c r="H517" t="s">
        <v>641</v>
      </c>
      <c r="I517">
        <v>1</v>
      </c>
      <c r="J517" s="1">
        <v>175</v>
      </c>
      <c r="K517" s="1">
        <v>105</v>
      </c>
      <c r="L517" s="2">
        <v>0</v>
      </c>
      <c r="M517" t="s">
        <v>643</v>
      </c>
      <c r="N517" t="str">
        <f t="shared" si="74"/>
        <v>Credit Card</v>
      </c>
      <c r="O517" t="s">
        <v>650</v>
      </c>
      <c r="P517" t="str">
        <f t="shared" si="75"/>
        <v>Cancelled</v>
      </c>
      <c r="Q517" t="str">
        <f t="shared" si="76"/>
        <v>Valid</v>
      </c>
      <c r="R517" t="s">
        <v>656</v>
      </c>
      <c r="S517">
        <f t="shared" si="77"/>
        <v>175</v>
      </c>
      <c r="T517">
        <f t="shared" si="78"/>
        <v>105</v>
      </c>
      <c r="U517">
        <f t="shared" si="79"/>
        <v>70</v>
      </c>
      <c r="V517" s="8">
        <f t="shared" si="80"/>
        <v>0.4</v>
      </c>
    </row>
    <row r="518" spans="1:22" x14ac:dyDescent="0.3">
      <c r="A518" t="s">
        <v>529</v>
      </c>
      <c r="B518" s="4">
        <v>45924</v>
      </c>
      <c r="C518" t="s">
        <v>564</v>
      </c>
      <c r="D518" t="str">
        <f t="shared" si="72"/>
        <v>Ava Thomas</v>
      </c>
      <c r="E518" t="s">
        <v>604</v>
      </c>
      <c r="F518" t="str">
        <f t="shared" si="73"/>
        <v>United States</v>
      </c>
      <c r="G518" t="s">
        <v>630</v>
      </c>
      <c r="H518" t="s">
        <v>640</v>
      </c>
      <c r="I518">
        <v>3</v>
      </c>
      <c r="J518" s="1">
        <v>78</v>
      </c>
      <c r="K518" s="1">
        <v>45</v>
      </c>
      <c r="L518" s="2">
        <v>0.1</v>
      </c>
      <c r="M518" t="s">
        <v>642</v>
      </c>
      <c r="N518" t="s">
        <v>644</v>
      </c>
      <c r="O518" t="s">
        <v>648</v>
      </c>
      <c r="P518" t="str">
        <f t="shared" si="75"/>
        <v>Completed</v>
      </c>
      <c r="Q518" t="str">
        <f t="shared" si="76"/>
        <v>Valid</v>
      </c>
      <c r="R518" t="s">
        <v>657</v>
      </c>
      <c r="S518">
        <f t="shared" si="77"/>
        <v>210.6</v>
      </c>
      <c r="T518">
        <f t="shared" si="78"/>
        <v>135</v>
      </c>
      <c r="U518">
        <f t="shared" si="79"/>
        <v>75.599999999999994</v>
      </c>
      <c r="V518" s="8">
        <f t="shared" si="80"/>
        <v>0.35897435897435898</v>
      </c>
    </row>
    <row r="519" spans="1:22" x14ac:dyDescent="0.3">
      <c r="A519" t="s">
        <v>530</v>
      </c>
      <c r="B519" s="4">
        <v>45836</v>
      </c>
      <c r="C519" t="s">
        <v>569</v>
      </c>
      <c r="D519" t="str">
        <f t="shared" si="72"/>
        <v>Mia White</v>
      </c>
      <c r="E519" t="s">
        <v>606</v>
      </c>
      <c r="F519" t="str">
        <f t="shared" si="73"/>
        <v>Canada</v>
      </c>
      <c r="G519" t="s">
        <v>637</v>
      </c>
      <c r="H519" t="s">
        <v>641</v>
      </c>
      <c r="I519">
        <v>1</v>
      </c>
      <c r="J519" s="1">
        <v>175</v>
      </c>
      <c r="K519" s="1">
        <v>105</v>
      </c>
      <c r="L519" s="2">
        <v>0.1</v>
      </c>
      <c r="M519" t="s">
        <v>646</v>
      </c>
      <c r="N519" t="str">
        <f t="shared" si="74"/>
        <v>Debit Card</v>
      </c>
      <c r="O519" t="s">
        <v>648</v>
      </c>
      <c r="P519" t="str">
        <f t="shared" si="75"/>
        <v>Completed</v>
      </c>
      <c r="Q519" t="str">
        <f t="shared" si="76"/>
        <v>Valid</v>
      </c>
      <c r="R519" t="s">
        <v>662</v>
      </c>
      <c r="S519">
        <f t="shared" si="77"/>
        <v>157.5</v>
      </c>
      <c r="T519">
        <f t="shared" si="78"/>
        <v>105</v>
      </c>
      <c r="U519">
        <f t="shared" si="79"/>
        <v>52.5</v>
      </c>
      <c r="V519" s="8">
        <f t="shared" si="80"/>
        <v>0.33333333333333331</v>
      </c>
    </row>
    <row r="520" spans="1:22" x14ac:dyDescent="0.3">
      <c r="A520" t="s">
        <v>531</v>
      </c>
      <c r="B520" s="4">
        <v>45770</v>
      </c>
      <c r="C520" t="s">
        <v>568</v>
      </c>
      <c r="D520" t="str">
        <f t="shared" si="72"/>
        <v>Daniel Harris</v>
      </c>
      <c r="E520" t="s">
        <v>603</v>
      </c>
      <c r="F520" t="str">
        <f t="shared" si="73"/>
        <v>Germany</v>
      </c>
      <c r="G520" t="s">
        <v>630</v>
      </c>
      <c r="H520" t="s">
        <v>640</v>
      </c>
      <c r="I520">
        <v>5</v>
      </c>
      <c r="J520" s="1">
        <v>78</v>
      </c>
      <c r="K520" s="1">
        <v>45</v>
      </c>
      <c r="L520" s="2">
        <v>0.15</v>
      </c>
      <c r="M520" t="s">
        <v>645</v>
      </c>
      <c r="N520" t="str">
        <f t="shared" si="74"/>
        <v>Bank Transfer</v>
      </c>
      <c r="O520" t="s">
        <v>648</v>
      </c>
      <c r="P520" t="str">
        <f t="shared" si="75"/>
        <v>Completed</v>
      </c>
      <c r="Q520" t="str">
        <f t="shared" si="76"/>
        <v>Valid</v>
      </c>
      <c r="R520" t="s">
        <v>666</v>
      </c>
      <c r="S520">
        <f t="shared" si="77"/>
        <v>331.5</v>
      </c>
      <c r="T520">
        <f t="shared" si="78"/>
        <v>225</v>
      </c>
      <c r="U520">
        <f t="shared" si="79"/>
        <v>106.5</v>
      </c>
      <c r="V520" s="8">
        <f t="shared" si="80"/>
        <v>0.32126696832579188</v>
      </c>
    </row>
    <row r="521" spans="1:22" x14ac:dyDescent="0.3">
      <c r="A521" t="s">
        <v>532</v>
      </c>
      <c r="B521" s="4">
        <v>45658</v>
      </c>
      <c r="C521" t="s">
        <v>575</v>
      </c>
      <c r="D521" t="str">
        <f t="shared" si="72"/>
        <v>Lucas Jackson</v>
      </c>
      <c r="E521" t="s">
        <v>613</v>
      </c>
      <c r="F521" t="str">
        <f t="shared" si="73"/>
        <v>Singapore</v>
      </c>
      <c r="G521" t="s">
        <v>634</v>
      </c>
      <c r="H521" t="s">
        <v>641</v>
      </c>
      <c r="I521">
        <v>4</v>
      </c>
      <c r="J521" s="1">
        <v>59</v>
      </c>
      <c r="K521" s="1">
        <v>30</v>
      </c>
      <c r="L521" s="2">
        <v>0</v>
      </c>
      <c r="M521" t="s">
        <v>645</v>
      </c>
      <c r="N521" t="str">
        <f t="shared" si="74"/>
        <v>Bank Transfer</v>
      </c>
      <c r="O521" t="s">
        <v>651</v>
      </c>
      <c r="P521" t="str">
        <f t="shared" si="75"/>
        <v>Shipped</v>
      </c>
      <c r="Q521" t="str">
        <f t="shared" si="76"/>
        <v>Valid</v>
      </c>
      <c r="R521" t="s">
        <v>668</v>
      </c>
      <c r="S521">
        <f t="shared" si="77"/>
        <v>236</v>
      </c>
      <c r="T521">
        <f t="shared" si="78"/>
        <v>120</v>
      </c>
      <c r="U521">
        <f t="shared" si="79"/>
        <v>116</v>
      </c>
      <c r="V521" s="8">
        <f t="shared" si="80"/>
        <v>0.49152542372881358</v>
      </c>
    </row>
    <row r="522" spans="1:22" x14ac:dyDescent="0.3">
      <c r="A522" t="s">
        <v>533</v>
      </c>
      <c r="B522" s="4">
        <v>45696</v>
      </c>
      <c r="C522" t="s">
        <v>570</v>
      </c>
      <c r="D522" t="str">
        <f t="shared" si="72"/>
        <v>Grace Moore</v>
      </c>
      <c r="E522" t="s">
        <v>609</v>
      </c>
      <c r="F522" t="str">
        <f t="shared" si="73"/>
        <v>Singapore</v>
      </c>
      <c r="G522" t="s">
        <v>631</v>
      </c>
      <c r="H522" t="s">
        <v>641</v>
      </c>
      <c r="I522">
        <v>5</v>
      </c>
      <c r="J522" s="1">
        <v>85</v>
      </c>
      <c r="K522" s="1">
        <v>44</v>
      </c>
      <c r="L522" s="2">
        <v>0</v>
      </c>
      <c r="M522" t="s">
        <v>645</v>
      </c>
      <c r="N522" t="str">
        <f t="shared" si="74"/>
        <v>Bank Transfer</v>
      </c>
      <c r="O522" t="s">
        <v>648</v>
      </c>
      <c r="P522" t="str">
        <f t="shared" si="75"/>
        <v>Completed</v>
      </c>
      <c r="Q522" t="str">
        <f t="shared" si="76"/>
        <v>Valid</v>
      </c>
      <c r="R522" t="s">
        <v>663</v>
      </c>
      <c r="S522">
        <f t="shared" si="77"/>
        <v>425</v>
      </c>
      <c r="T522">
        <f t="shared" si="78"/>
        <v>220</v>
      </c>
      <c r="U522">
        <f t="shared" si="79"/>
        <v>205</v>
      </c>
      <c r="V522" s="8">
        <f t="shared" si="80"/>
        <v>0.4823529411764706</v>
      </c>
    </row>
    <row r="523" spans="1:22" x14ac:dyDescent="0.3">
      <c r="A523" t="s">
        <v>534</v>
      </c>
      <c r="B523" s="4">
        <v>45783</v>
      </c>
      <c r="C523" t="s">
        <v>582</v>
      </c>
      <c r="D523" t="str">
        <f t="shared" si="72"/>
        <v>Alex Morgan</v>
      </c>
      <c r="E523" t="s">
        <v>618</v>
      </c>
      <c r="F523" t="str">
        <f t="shared" si="73"/>
        <v>United Kingdom</v>
      </c>
      <c r="G523" t="s">
        <v>632</v>
      </c>
      <c r="H523" t="s">
        <v>639</v>
      </c>
      <c r="I523">
        <v>4</v>
      </c>
      <c r="J523" s="1">
        <v>42</v>
      </c>
      <c r="K523" s="1">
        <v>21</v>
      </c>
      <c r="L523" s="2">
        <v>0.1</v>
      </c>
      <c r="M523" t="s">
        <v>645</v>
      </c>
      <c r="N523" t="str">
        <f t="shared" si="74"/>
        <v>Bank Transfer</v>
      </c>
      <c r="O523" t="s">
        <v>650</v>
      </c>
      <c r="P523" t="str">
        <f t="shared" si="75"/>
        <v>Cancelled</v>
      </c>
      <c r="Q523" t="str">
        <f t="shared" si="76"/>
        <v>Valid</v>
      </c>
      <c r="R523" t="s">
        <v>658</v>
      </c>
      <c r="S523">
        <f t="shared" si="77"/>
        <v>151.20000000000002</v>
      </c>
      <c r="T523">
        <f t="shared" si="78"/>
        <v>84</v>
      </c>
      <c r="U523">
        <f t="shared" si="79"/>
        <v>67.200000000000017</v>
      </c>
      <c r="V523" s="8">
        <f t="shared" si="80"/>
        <v>0.44444444444444453</v>
      </c>
    </row>
    <row r="524" spans="1:22" x14ac:dyDescent="0.3">
      <c r="A524" t="s">
        <v>535</v>
      </c>
      <c r="B524" s="4">
        <v>45942</v>
      </c>
      <c r="C524" t="s">
        <v>577</v>
      </c>
      <c r="D524" t="str">
        <f t="shared" si="72"/>
        <v>Emma Wilson</v>
      </c>
      <c r="E524" t="s">
        <v>620</v>
      </c>
      <c r="F524" t="str">
        <f t="shared" si="73"/>
        <v>India</v>
      </c>
      <c r="G524" t="s">
        <v>635</v>
      </c>
      <c r="H524" t="s">
        <v>639</v>
      </c>
      <c r="I524">
        <v>3</v>
      </c>
      <c r="J524" s="1">
        <v>65</v>
      </c>
      <c r="K524" s="1">
        <v>31</v>
      </c>
      <c r="L524" s="2">
        <v>0</v>
      </c>
      <c r="M524" t="s">
        <v>645</v>
      </c>
      <c r="N524" t="str">
        <f t="shared" si="74"/>
        <v>Bank Transfer</v>
      </c>
      <c r="O524" t="s">
        <v>648</v>
      </c>
      <c r="P524" t="str">
        <f t="shared" si="75"/>
        <v>Completed</v>
      </c>
      <c r="Q524" t="str">
        <f t="shared" si="76"/>
        <v>Valid</v>
      </c>
      <c r="R524" t="s">
        <v>670</v>
      </c>
      <c r="S524">
        <f t="shared" si="77"/>
        <v>195</v>
      </c>
      <c r="T524">
        <f t="shared" si="78"/>
        <v>93</v>
      </c>
      <c r="U524">
        <f t="shared" si="79"/>
        <v>102</v>
      </c>
      <c r="V524" s="8">
        <f t="shared" si="80"/>
        <v>0.52307692307692311</v>
      </c>
    </row>
    <row r="525" spans="1:22" x14ac:dyDescent="0.3">
      <c r="A525" t="s">
        <v>536</v>
      </c>
      <c r="B525" s="4">
        <v>45971</v>
      </c>
      <c r="C525" t="s">
        <v>570</v>
      </c>
      <c r="D525" t="str">
        <f t="shared" si="72"/>
        <v>Grace Moore</v>
      </c>
      <c r="E525" t="s">
        <v>603</v>
      </c>
      <c r="F525" t="str">
        <f t="shared" si="73"/>
        <v>Germany</v>
      </c>
      <c r="G525" t="s">
        <v>637</v>
      </c>
      <c r="H525" t="s">
        <v>641</v>
      </c>
      <c r="I525">
        <v>2</v>
      </c>
      <c r="J525" s="1">
        <v>175</v>
      </c>
      <c r="K525" s="1">
        <v>105</v>
      </c>
      <c r="L525" s="2">
        <v>0.1</v>
      </c>
      <c r="M525" t="s">
        <v>644</v>
      </c>
      <c r="N525" t="s">
        <v>644</v>
      </c>
      <c r="O525" t="s">
        <v>650</v>
      </c>
      <c r="P525" t="str">
        <f t="shared" si="75"/>
        <v>Cancelled</v>
      </c>
      <c r="Q525" t="str">
        <f t="shared" si="76"/>
        <v>Valid</v>
      </c>
      <c r="R525" t="s">
        <v>663</v>
      </c>
      <c r="S525">
        <f t="shared" si="77"/>
        <v>315</v>
      </c>
      <c r="T525">
        <f t="shared" si="78"/>
        <v>210</v>
      </c>
      <c r="U525">
        <f t="shared" si="79"/>
        <v>105</v>
      </c>
      <c r="V525" s="8">
        <f t="shared" si="80"/>
        <v>0.33333333333333331</v>
      </c>
    </row>
    <row r="526" spans="1:22" x14ac:dyDescent="0.3">
      <c r="A526" t="s">
        <v>537</v>
      </c>
      <c r="B526" s="4">
        <v>45925</v>
      </c>
      <c r="C526" t="s">
        <v>564</v>
      </c>
      <c r="D526" t="str">
        <f t="shared" si="72"/>
        <v>Ava Thomas</v>
      </c>
      <c r="E526" t="s">
        <v>617</v>
      </c>
      <c r="F526" t="str">
        <f t="shared" si="73"/>
        <v>Germany</v>
      </c>
      <c r="G526" t="s">
        <v>635</v>
      </c>
      <c r="H526" t="s">
        <v>639</v>
      </c>
      <c r="I526">
        <v>3</v>
      </c>
      <c r="J526" s="1">
        <v>65</v>
      </c>
      <c r="K526" s="1">
        <v>31</v>
      </c>
      <c r="L526" s="2">
        <v>0.05</v>
      </c>
      <c r="M526" t="s">
        <v>645</v>
      </c>
      <c r="N526" t="str">
        <f t="shared" si="74"/>
        <v>Bank Transfer</v>
      </c>
      <c r="O526" t="s">
        <v>648</v>
      </c>
      <c r="P526" t="str">
        <f t="shared" si="75"/>
        <v>Completed</v>
      </c>
      <c r="Q526" t="str">
        <f t="shared" si="76"/>
        <v>Valid</v>
      </c>
      <c r="R526" t="s">
        <v>657</v>
      </c>
      <c r="S526">
        <f t="shared" si="77"/>
        <v>185.25</v>
      </c>
      <c r="T526">
        <f t="shared" si="78"/>
        <v>93</v>
      </c>
      <c r="U526">
        <f t="shared" si="79"/>
        <v>92.25</v>
      </c>
      <c r="V526" s="8">
        <f t="shared" si="80"/>
        <v>0.49797570850202427</v>
      </c>
    </row>
    <row r="527" spans="1:22" x14ac:dyDescent="0.3">
      <c r="A527" t="s">
        <v>538</v>
      </c>
      <c r="B527" s="4">
        <v>45809</v>
      </c>
      <c r="C527" t="s">
        <v>578</v>
      </c>
      <c r="D527" t="str">
        <f t="shared" si="72"/>
        <v>Ella Martin</v>
      </c>
      <c r="E527" t="s">
        <v>614</v>
      </c>
      <c r="F527" t="str">
        <f t="shared" si="73"/>
        <v>Australia</v>
      </c>
      <c r="G527" t="s">
        <v>636</v>
      </c>
      <c r="H527" t="s">
        <v>641</v>
      </c>
      <c r="I527">
        <v>5</v>
      </c>
      <c r="J527" s="1">
        <v>245</v>
      </c>
      <c r="K527" s="1">
        <v>150</v>
      </c>
      <c r="L527" s="2">
        <v>0</v>
      </c>
      <c r="M527" t="s">
        <v>647</v>
      </c>
      <c r="N527" t="str">
        <f t="shared" si="74"/>
        <v>Credit Card</v>
      </c>
      <c r="O527" t="s">
        <v>648</v>
      </c>
      <c r="P527" t="str">
        <f t="shared" si="75"/>
        <v>Completed</v>
      </c>
      <c r="Q527" t="str">
        <f t="shared" si="76"/>
        <v>Valid</v>
      </c>
      <c r="R527" t="s">
        <v>671</v>
      </c>
      <c r="S527">
        <f t="shared" si="77"/>
        <v>1225</v>
      </c>
      <c r="T527">
        <f t="shared" si="78"/>
        <v>750</v>
      </c>
      <c r="U527">
        <f t="shared" si="79"/>
        <v>475</v>
      </c>
      <c r="V527" s="8">
        <f t="shared" si="80"/>
        <v>0.38775510204081631</v>
      </c>
    </row>
    <row r="528" spans="1:22" x14ac:dyDescent="0.3">
      <c r="A528" t="s">
        <v>539</v>
      </c>
      <c r="B528" s="4">
        <v>46022</v>
      </c>
      <c r="C528" t="s">
        <v>570</v>
      </c>
      <c r="D528" t="str">
        <f t="shared" si="72"/>
        <v>Grace Moore</v>
      </c>
      <c r="E528" t="s">
        <v>624</v>
      </c>
      <c r="F528" t="str">
        <f t="shared" si="73"/>
        <v>United Arab Emirates</v>
      </c>
      <c r="G528" t="s">
        <v>636</v>
      </c>
      <c r="H528" t="s">
        <v>641</v>
      </c>
      <c r="I528">
        <v>2</v>
      </c>
      <c r="J528" s="1">
        <v>245</v>
      </c>
      <c r="K528" s="1">
        <v>150</v>
      </c>
      <c r="L528" s="2">
        <v>0.1</v>
      </c>
      <c r="M528" t="s">
        <v>642</v>
      </c>
      <c r="N528" t="s">
        <v>644</v>
      </c>
      <c r="O528" t="s">
        <v>652</v>
      </c>
      <c r="P528" t="str">
        <f t="shared" si="75"/>
        <v>Completed</v>
      </c>
      <c r="Q528" t="str">
        <f t="shared" si="76"/>
        <v>Valid</v>
      </c>
      <c r="R528" t="s">
        <v>663</v>
      </c>
      <c r="S528">
        <f t="shared" si="77"/>
        <v>441</v>
      </c>
      <c r="T528">
        <f t="shared" si="78"/>
        <v>300</v>
      </c>
      <c r="U528">
        <f t="shared" si="79"/>
        <v>141</v>
      </c>
      <c r="V528" s="8">
        <f t="shared" si="80"/>
        <v>0.31972789115646261</v>
      </c>
    </row>
    <row r="529" spans="1:22" x14ac:dyDescent="0.3">
      <c r="A529" t="s">
        <v>540</v>
      </c>
      <c r="B529" s="4">
        <v>45696</v>
      </c>
      <c r="C529" t="s">
        <v>575</v>
      </c>
      <c r="D529" t="str">
        <f t="shared" si="72"/>
        <v>Lucas Jackson</v>
      </c>
      <c r="E529" t="s">
        <v>607</v>
      </c>
      <c r="F529" t="str">
        <f t="shared" si="73"/>
        <v>Germany</v>
      </c>
      <c r="G529" t="s">
        <v>631</v>
      </c>
      <c r="H529" t="s">
        <v>641</v>
      </c>
      <c r="I529">
        <v>2</v>
      </c>
      <c r="J529" s="1">
        <v>85</v>
      </c>
      <c r="K529" s="1">
        <v>44</v>
      </c>
      <c r="L529" s="2">
        <v>0</v>
      </c>
      <c r="M529" t="s">
        <v>644</v>
      </c>
      <c r="N529" t="s">
        <v>644</v>
      </c>
      <c r="O529" t="s">
        <v>648</v>
      </c>
      <c r="P529" t="str">
        <f t="shared" si="75"/>
        <v>Completed</v>
      </c>
      <c r="Q529" t="str">
        <f t="shared" si="76"/>
        <v>Valid</v>
      </c>
      <c r="R529" t="s">
        <v>668</v>
      </c>
      <c r="S529">
        <f t="shared" si="77"/>
        <v>170</v>
      </c>
      <c r="T529">
        <f t="shared" si="78"/>
        <v>88</v>
      </c>
      <c r="U529">
        <f t="shared" si="79"/>
        <v>82</v>
      </c>
      <c r="V529" s="8">
        <f t="shared" si="80"/>
        <v>0.4823529411764706</v>
      </c>
    </row>
    <row r="530" spans="1:22" x14ac:dyDescent="0.3">
      <c r="A530" t="s">
        <v>541</v>
      </c>
      <c r="B530" s="4">
        <v>45830</v>
      </c>
      <c r="C530" t="s">
        <v>570</v>
      </c>
      <c r="D530" t="str">
        <f t="shared" si="72"/>
        <v>Grace Moore</v>
      </c>
      <c r="E530" t="s">
        <v>623</v>
      </c>
      <c r="F530" t="str">
        <f t="shared" si="73"/>
        <v>United States</v>
      </c>
      <c r="G530" t="s">
        <v>632</v>
      </c>
      <c r="H530" t="s">
        <v>639</v>
      </c>
      <c r="I530">
        <v>5</v>
      </c>
      <c r="J530" s="1">
        <v>42</v>
      </c>
      <c r="K530" s="1">
        <v>21</v>
      </c>
      <c r="L530" s="2">
        <v>0.05</v>
      </c>
      <c r="M530" t="s">
        <v>646</v>
      </c>
      <c r="N530" t="str">
        <f t="shared" si="74"/>
        <v>Debit Card</v>
      </c>
      <c r="O530" t="s">
        <v>650</v>
      </c>
      <c r="P530" t="str">
        <f t="shared" si="75"/>
        <v>Cancelled</v>
      </c>
      <c r="Q530" t="str">
        <f t="shared" si="76"/>
        <v>Valid</v>
      </c>
      <c r="R530" t="s">
        <v>663</v>
      </c>
      <c r="S530">
        <f t="shared" si="77"/>
        <v>199.5</v>
      </c>
      <c r="T530">
        <f t="shared" si="78"/>
        <v>105</v>
      </c>
      <c r="U530">
        <f t="shared" si="79"/>
        <v>94.5</v>
      </c>
      <c r="V530" s="8">
        <f t="shared" si="80"/>
        <v>0.47368421052631576</v>
      </c>
    </row>
    <row r="531" spans="1:22" x14ac:dyDescent="0.3">
      <c r="A531" t="s">
        <v>542</v>
      </c>
      <c r="B531" s="4">
        <v>45887</v>
      </c>
      <c r="C531" t="s">
        <v>567</v>
      </c>
      <c r="D531" t="str">
        <f t="shared" si="72"/>
        <v>Sophia Taylor</v>
      </c>
      <c r="E531" t="s">
        <v>624</v>
      </c>
      <c r="F531" t="str">
        <f t="shared" si="73"/>
        <v>United Arab Emirates</v>
      </c>
      <c r="G531" t="s">
        <v>633</v>
      </c>
      <c r="H531" t="s">
        <v>638</v>
      </c>
      <c r="I531">
        <v>2</v>
      </c>
      <c r="J531" s="1">
        <v>210</v>
      </c>
      <c r="K531" s="1">
        <v>125</v>
      </c>
      <c r="L531" s="2">
        <v>0.05</v>
      </c>
      <c r="M531" t="s">
        <v>644</v>
      </c>
      <c r="N531" t="s">
        <v>644</v>
      </c>
      <c r="O531" t="s">
        <v>648</v>
      </c>
      <c r="P531" t="str">
        <f t="shared" si="75"/>
        <v>Completed</v>
      </c>
      <c r="Q531" t="str">
        <f t="shared" si="76"/>
        <v>Valid</v>
      </c>
      <c r="R531" t="s">
        <v>660</v>
      </c>
      <c r="S531">
        <f t="shared" si="77"/>
        <v>399</v>
      </c>
      <c r="T531">
        <f t="shared" si="78"/>
        <v>250</v>
      </c>
      <c r="U531">
        <f t="shared" si="79"/>
        <v>149</v>
      </c>
      <c r="V531" s="8">
        <f t="shared" si="80"/>
        <v>0.37343358395989973</v>
      </c>
    </row>
    <row r="532" spans="1:22" x14ac:dyDescent="0.3">
      <c r="A532" t="s">
        <v>543</v>
      </c>
      <c r="B532" s="4">
        <v>45941</v>
      </c>
      <c r="C532" t="s">
        <v>578</v>
      </c>
      <c r="D532" t="str">
        <f t="shared" si="72"/>
        <v>Ella Martin</v>
      </c>
      <c r="E532" t="s">
        <v>600</v>
      </c>
      <c r="F532" t="str">
        <f t="shared" si="73"/>
        <v>Australia</v>
      </c>
      <c r="G532" t="s">
        <v>628</v>
      </c>
      <c r="H532" t="s">
        <v>639</v>
      </c>
      <c r="I532">
        <v>4</v>
      </c>
      <c r="J532" s="1">
        <v>18</v>
      </c>
      <c r="K532" s="1">
        <v>7</v>
      </c>
      <c r="L532" s="2">
        <v>0.2</v>
      </c>
      <c r="M532" t="s">
        <v>646</v>
      </c>
      <c r="N532" t="str">
        <f t="shared" si="74"/>
        <v>Debit Card</v>
      </c>
      <c r="O532" t="s">
        <v>649</v>
      </c>
      <c r="P532" t="str">
        <f t="shared" si="75"/>
        <v>Pending</v>
      </c>
      <c r="Q532" t="str">
        <f t="shared" si="76"/>
        <v>Valid</v>
      </c>
      <c r="R532" t="s">
        <v>671</v>
      </c>
      <c r="S532">
        <f t="shared" si="77"/>
        <v>57.6</v>
      </c>
      <c r="T532">
        <f t="shared" si="78"/>
        <v>28</v>
      </c>
      <c r="U532">
        <f t="shared" si="79"/>
        <v>29.6</v>
      </c>
      <c r="V532" s="8">
        <f t="shared" si="80"/>
        <v>0.51388888888888895</v>
      </c>
    </row>
    <row r="533" spans="1:22" x14ac:dyDescent="0.3">
      <c r="A533" t="s">
        <v>544</v>
      </c>
      <c r="B533" s="4">
        <v>45847</v>
      </c>
      <c r="C533" t="s">
        <v>564</v>
      </c>
      <c r="D533" t="str">
        <f t="shared" si="72"/>
        <v>Ava Thomas</v>
      </c>
      <c r="E533" t="s">
        <v>615</v>
      </c>
      <c r="F533" t="str">
        <f t="shared" si="73"/>
        <v>Canada</v>
      </c>
      <c r="G533" t="s">
        <v>631</v>
      </c>
      <c r="H533" t="s">
        <v>641</v>
      </c>
      <c r="I533">
        <v>2</v>
      </c>
      <c r="J533" s="1">
        <v>85</v>
      </c>
      <c r="K533" s="1">
        <v>44</v>
      </c>
      <c r="L533" s="2">
        <v>0.1</v>
      </c>
      <c r="M533" t="s">
        <v>647</v>
      </c>
      <c r="N533" t="str">
        <f t="shared" si="74"/>
        <v>Credit Card</v>
      </c>
      <c r="O533" t="s">
        <v>650</v>
      </c>
      <c r="P533" t="str">
        <f t="shared" si="75"/>
        <v>Cancelled</v>
      </c>
      <c r="Q533" t="str">
        <f t="shared" si="76"/>
        <v>Valid</v>
      </c>
      <c r="R533" t="s">
        <v>657</v>
      </c>
      <c r="S533">
        <f t="shared" si="77"/>
        <v>153</v>
      </c>
      <c r="T533">
        <f t="shared" si="78"/>
        <v>88</v>
      </c>
      <c r="U533">
        <f t="shared" si="79"/>
        <v>65</v>
      </c>
      <c r="V533" s="8">
        <f t="shared" si="80"/>
        <v>0.42483660130718953</v>
      </c>
    </row>
    <row r="534" spans="1:22" x14ac:dyDescent="0.3">
      <c r="A534" t="s">
        <v>545</v>
      </c>
      <c r="B534" s="4">
        <v>45775</v>
      </c>
      <c r="C534" t="s">
        <v>569</v>
      </c>
      <c r="D534" t="str">
        <f t="shared" si="72"/>
        <v>Mia White</v>
      </c>
      <c r="E534" t="s">
        <v>610</v>
      </c>
      <c r="F534" t="str">
        <f t="shared" si="73"/>
        <v>United Arab Emirates</v>
      </c>
      <c r="G534" t="s">
        <v>634</v>
      </c>
      <c r="H534" t="s">
        <v>641</v>
      </c>
      <c r="I534">
        <v>1</v>
      </c>
      <c r="J534" s="1">
        <v>59</v>
      </c>
      <c r="K534" s="1">
        <v>30</v>
      </c>
      <c r="L534" s="2">
        <v>0.15</v>
      </c>
      <c r="M534" t="s">
        <v>645</v>
      </c>
      <c r="N534" t="str">
        <f t="shared" si="74"/>
        <v>Bank Transfer</v>
      </c>
      <c r="O534" t="s">
        <v>649</v>
      </c>
      <c r="P534" t="str">
        <f t="shared" si="75"/>
        <v>Pending</v>
      </c>
      <c r="Q534" t="str">
        <f t="shared" si="76"/>
        <v>Valid</v>
      </c>
      <c r="R534" t="s">
        <v>662</v>
      </c>
      <c r="S534">
        <f t="shared" si="77"/>
        <v>50.15</v>
      </c>
      <c r="T534">
        <f t="shared" si="78"/>
        <v>30</v>
      </c>
      <c r="U534">
        <f t="shared" si="79"/>
        <v>20.149999999999999</v>
      </c>
      <c r="V534" s="8">
        <f t="shared" si="80"/>
        <v>0.40179461615154533</v>
      </c>
    </row>
    <row r="535" spans="1:22" x14ac:dyDescent="0.3">
      <c r="A535" t="s">
        <v>546</v>
      </c>
      <c r="B535" s="4">
        <v>45785</v>
      </c>
      <c r="C535" t="s">
        <v>583</v>
      </c>
      <c r="D535" t="str">
        <f t="shared" si="72"/>
        <v>Ethan Anderson</v>
      </c>
      <c r="E535" t="s">
        <v>615</v>
      </c>
      <c r="F535" t="str">
        <f t="shared" si="73"/>
        <v>Canada</v>
      </c>
      <c r="G535" t="s">
        <v>630</v>
      </c>
      <c r="H535" t="s">
        <v>640</v>
      </c>
      <c r="I535">
        <v>3</v>
      </c>
      <c r="J535" s="1">
        <v>78</v>
      </c>
      <c r="K535" s="1">
        <v>45</v>
      </c>
      <c r="L535" s="2">
        <v>0</v>
      </c>
      <c r="M535" t="s">
        <v>647</v>
      </c>
      <c r="N535" t="str">
        <f t="shared" si="74"/>
        <v>Credit Card</v>
      </c>
      <c r="O535" t="s">
        <v>648</v>
      </c>
      <c r="P535" t="str">
        <f t="shared" si="75"/>
        <v>Completed</v>
      </c>
      <c r="Q535" t="str">
        <f t="shared" si="76"/>
        <v>Valid</v>
      </c>
      <c r="R535" t="s">
        <v>673</v>
      </c>
      <c r="S535">
        <f t="shared" si="77"/>
        <v>234</v>
      </c>
      <c r="T535">
        <f t="shared" si="78"/>
        <v>135</v>
      </c>
      <c r="U535">
        <f t="shared" si="79"/>
        <v>99</v>
      </c>
      <c r="V535" s="8">
        <f t="shared" si="80"/>
        <v>0.42307692307692307</v>
      </c>
    </row>
    <row r="536" spans="1:22" x14ac:dyDescent="0.3">
      <c r="A536" t="s">
        <v>547</v>
      </c>
      <c r="B536" s="4">
        <v>45862</v>
      </c>
      <c r="C536" t="s">
        <v>598</v>
      </c>
      <c r="D536" t="str">
        <f t="shared" si="72"/>
        <v>Lily Hall</v>
      </c>
      <c r="E536" t="s">
        <v>617</v>
      </c>
      <c r="F536" t="str">
        <f t="shared" si="73"/>
        <v>Germany</v>
      </c>
      <c r="G536" t="s">
        <v>627</v>
      </c>
      <c r="H536" t="s">
        <v>639</v>
      </c>
      <c r="I536">
        <v>5</v>
      </c>
      <c r="J536" s="1">
        <v>38</v>
      </c>
      <c r="K536" s="1">
        <v>17</v>
      </c>
      <c r="L536" s="2">
        <v>0.15</v>
      </c>
      <c r="M536" t="s">
        <v>642</v>
      </c>
      <c r="N536" t="s">
        <v>644</v>
      </c>
      <c r="O536" t="s">
        <v>648</v>
      </c>
      <c r="P536" t="str">
        <f t="shared" si="75"/>
        <v>Completed</v>
      </c>
      <c r="Q536" t="str">
        <f t="shared" si="76"/>
        <v>Valid</v>
      </c>
      <c r="R536" t="s">
        <v>659</v>
      </c>
      <c r="S536">
        <f t="shared" si="77"/>
        <v>161.5</v>
      </c>
      <c r="T536">
        <f t="shared" si="78"/>
        <v>85</v>
      </c>
      <c r="U536">
        <f t="shared" si="79"/>
        <v>76.5</v>
      </c>
      <c r="V536" s="8">
        <f t="shared" si="80"/>
        <v>0.47368421052631576</v>
      </c>
    </row>
    <row r="537" spans="1:22" x14ac:dyDescent="0.3">
      <c r="A537" t="s">
        <v>548</v>
      </c>
      <c r="B537" s="4">
        <v>45990</v>
      </c>
      <c r="C537" t="s">
        <v>578</v>
      </c>
      <c r="D537" t="str">
        <f t="shared" si="72"/>
        <v>Ella Martin</v>
      </c>
      <c r="E537" t="s">
        <v>610</v>
      </c>
      <c r="F537" t="str">
        <f t="shared" si="73"/>
        <v>United Arab Emirates</v>
      </c>
      <c r="G537" t="s">
        <v>637</v>
      </c>
      <c r="H537" t="s">
        <v>641</v>
      </c>
      <c r="I537">
        <v>4</v>
      </c>
      <c r="J537" s="1">
        <v>175</v>
      </c>
      <c r="K537" s="1">
        <v>105</v>
      </c>
      <c r="L537" s="2">
        <v>0</v>
      </c>
      <c r="M537" t="s">
        <v>647</v>
      </c>
      <c r="N537" t="str">
        <f t="shared" si="74"/>
        <v>Credit Card</v>
      </c>
      <c r="O537" t="s">
        <v>650</v>
      </c>
      <c r="P537" t="str">
        <f t="shared" si="75"/>
        <v>Cancelled</v>
      </c>
      <c r="Q537" t="str">
        <f t="shared" si="76"/>
        <v>Valid</v>
      </c>
      <c r="R537" t="s">
        <v>671</v>
      </c>
      <c r="S537">
        <f t="shared" si="77"/>
        <v>700</v>
      </c>
      <c r="T537">
        <f t="shared" si="78"/>
        <v>420</v>
      </c>
      <c r="U537">
        <f t="shared" si="79"/>
        <v>280</v>
      </c>
      <c r="V537" s="8">
        <f t="shared" si="80"/>
        <v>0.4</v>
      </c>
    </row>
    <row r="538" spans="1:22" x14ac:dyDescent="0.3">
      <c r="A538" t="s">
        <v>549</v>
      </c>
      <c r="B538" s="4">
        <v>45986</v>
      </c>
      <c r="C538" t="s">
        <v>564</v>
      </c>
      <c r="D538" t="str">
        <f t="shared" si="72"/>
        <v>Ava Thomas</v>
      </c>
      <c r="E538" t="s">
        <v>605</v>
      </c>
      <c r="F538" t="str">
        <f t="shared" si="73"/>
        <v>Singapore</v>
      </c>
      <c r="G538" t="s">
        <v>631</v>
      </c>
      <c r="H538" t="s">
        <v>641</v>
      </c>
      <c r="I538">
        <v>4</v>
      </c>
      <c r="J538" s="1">
        <v>85</v>
      </c>
      <c r="K538" s="1">
        <v>44</v>
      </c>
      <c r="L538" s="2">
        <v>0.15</v>
      </c>
      <c r="M538" t="s">
        <v>644</v>
      </c>
      <c r="N538" t="s">
        <v>644</v>
      </c>
      <c r="O538" t="s">
        <v>648</v>
      </c>
      <c r="P538" t="str">
        <f t="shared" si="75"/>
        <v>Completed</v>
      </c>
      <c r="Q538" t="str">
        <f t="shared" si="76"/>
        <v>Invalid</v>
      </c>
      <c r="R538" t="s">
        <v>679</v>
      </c>
      <c r="S538">
        <f t="shared" si="77"/>
        <v>289</v>
      </c>
      <c r="T538">
        <f t="shared" si="78"/>
        <v>176</v>
      </c>
      <c r="U538">
        <f t="shared" si="79"/>
        <v>113</v>
      </c>
      <c r="V538" s="8">
        <f t="shared" si="80"/>
        <v>0.39100346020761245</v>
      </c>
    </row>
    <row r="539" spans="1:22" x14ac:dyDescent="0.3">
      <c r="A539" t="s">
        <v>550</v>
      </c>
      <c r="B539" s="4">
        <v>45871</v>
      </c>
      <c r="C539" t="s">
        <v>572</v>
      </c>
      <c r="D539" t="str">
        <f t="shared" si="72"/>
        <v>Olivia Davis</v>
      </c>
      <c r="E539" t="s">
        <v>620</v>
      </c>
      <c r="F539" t="str">
        <f t="shared" si="73"/>
        <v>India</v>
      </c>
      <c r="G539" t="s">
        <v>628</v>
      </c>
      <c r="H539" t="s">
        <v>639</v>
      </c>
      <c r="I539">
        <v>5</v>
      </c>
      <c r="J539" s="1">
        <v>18</v>
      </c>
      <c r="K539" s="1">
        <v>7</v>
      </c>
      <c r="L539" s="2">
        <v>0</v>
      </c>
      <c r="N539" t="s">
        <v>717</v>
      </c>
      <c r="O539" t="s">
        <v>650</v>
      </c>
      <c r="P539" t="str">
        <f t="shared" si="75"/>
        <v>Cancelled</v>
      </c>
      <c r="Q539" t="str">
        <f t="shared" si="76"/>
        <v>Valid</v>
      </c>
      <c r="R539" t="s">
        <v>665</v>
      </c>
      <c r="S539">
        <f t="shared" si="77"/>
        <v>90</v>
      </c>
      <c r="T539">
        <f t="shared" si="78"/>
        <v>35</v>
      </c>
      <c r="U539">
        <f t="shared" si="79"/>
        <v>55</v>
      </c>
      <c r="V539" s="8">
        <f t="shared" si="80"/>
        <v>0.61111111111111116</v>
      </c>
    </row>
    <row r="540" spans="1:22" x14ac:dyDescent="0.3">
      <c r="A540" t="s">
        <v>551</v>
      </c>
      <c r="B540" s="4">
        <v>45750</v>
      </c>
      <c r="C540" t="s">
        <v>571</v>
      </c>
      <c r="D540" t="str">
        <f t="shared" si="72"/>
        <v>Henry Clark</v>
      </c>
      <c r="E540" t="s">
        <v>624</v>
      </c>
      <c r="F540" t="str">
        <f t="shared" si="73"/>
        <v>United Arab Emirates</v>
      </c>
      <c r="G540" t="s">
        <v>633</v>
      </c>
      <c r="H540" t="s">
        <v>638</v>
      </c>
      <c r="I540">
        <v>2</v>
      </c>
      <c r="J540" s="1">
        <v>210</v>
      </c>
      <c r="K540" s="1">
        <v>125</v>
      </c>
      <c r="L540" s="2">
        <v>0</v>
      </c>
      <c r="M540" t="s">
        <v>647</v>
      </c>
      <c r="N540" t="str">
        <f t="shared" si="74"/>
        <v>Credit Card</v>
      </c>
      <c r="O540" t="s">
        <v>648</v>
      </c>
      <c r="P540" t="str">
        <f t="shared" si="75"/>
        <v>Completed</v>
      </c>
      <c r="Q540" t="str">
        <f t="shared" si="76"/>
        <v>Valid</v>
      </c>
      <c r="R540" t="s">
        <v>664</v>
      </c>
      <c r="S540">
        <f t="shared" si="77"/>
        <v>420</v>
      </c>
      <c r="T540">
        <f t="shared" si="78"/>
        <v>250</v>
      </c>
      <c r="U540">
        <f t="shared" si="79"/>
        <v>170</v>
      </c>
      <c r="V540" s="8">
        <f t="shared" si="80"/>
        <v>0.40476190476190477</v>
      </c>
    </row>
    <row r="541" spans="1:22" x14ac:dyDescent="0.3">
      <c r="A541" t="s">
        <v>552</v>
      </c>
      <c r="B541" s="4">
        <v>45662</v>
      </c>
      <c r="C541" t="s">
        <v>566</v>
      </c>
      <c r="D541" t="str">
        <f t="shared" si="72"/>
        <v>Lily Hall</v>
      </c>
      <c r="E541" t="s">
        <v>609</v>
      </c>
      <c r="F541" t="str">
        <f t="shared" si="73"/>
        <v>Singapore</v>
      </c>
      <c r="G541" t="s">
        <v>634</v>
      </c>
      <c r="H541" t="s">
        <v>641</v>
      </c>
      <c r="I541">
        <v>1</v>
      </c>
      <c r="J541" s="1">
        <v>59</v>
      </c>
      <c r="K541" s="1">
        <v>30</v>
      </c>
      <c r="L541" s="2">
        <v>0.05</v>
      </c>
      <c r="M541" t="s">
        <v>642</v>
      </c>
      <c r="N541" t="s">
        <v>644</v>
      </c>
      <c r="O541" t="s">
        <v>648</v>
      </c>
      <c r="P541" t="str">
        <f t="shared" si="75"/>
        <v>Completed</v>
      </c>
      <c r="Q541" t="str">
        <f t="shared" si="76"/>
        <v>Missing</v>
      </c>
      <c r="S541">
        <f t="shared" si="77"/>
        <v>56.05</v>
      </c>
      <c r="T541">
        <f t="shared" si="78"/>
        <v>30</v>
      </c>
      <c r="U541">
        <f t="shared" si="79"/>
        <v>26.049999999999997</v>
      </c>
      <c r="V541" s="8">
        <f t="shared" si="80"/>
        <v>0.46476360392506688</v>
      </c>
    </row>
    <row r="542" spans="1:22" x14ac:dyDescent="0.3">
      <c r="A542" t="s">
        <v>553</v>
      </c>
      <c r="B542" s="4">
        <v>45948</v>
      </c>
      <c r="C542" t="s">
        <v>582</v>
      </c>
      <c r="D542" t="str">
        <f t="shared" si="72"/>
        <v>Alex Morgan</v>
      </c>
      <c r="E542" t="s">
        <v>609</v>
      </c>
      <c r="F542" t="str">
        <f t="shared" si="73"/>
        <v>Singapore</v>
      </c>
      <c r="G542" t="s">
        <v>637</v>
      </c>
      <c r="H542" t="s">
        <v>641</v>
      </c>
      <c r="I542">
        <v>5</v>
      </c>
      <c r="J542" s="1">
        <v>175</v>
      </c>
      <c r="K542" s="1">
        <v>105</v>
      </c>
      <c r="L542" s="2">
        <v>0.05</v>
      </c>
      <c r="M542" t="s">
        <v>642</v>
      </c>
      <c r="N542" t="s">
        <v>644</v>
      </c>
      <c r="O542" t="s">
        <v>651</v>
      </c>
      <c r="P542" t="str">
        <f t="shared" si="75"/>
        <v>Shipped</v>
      </c>
      <c r="Q542" t="str">
        <f t="shared" si="76"/>
        <v>Valid</v>
      </c>
      <c r="R542" t="s">
        <v>658</v>
      </c>
      <c r="S542">
        <f t="shared" si="77"/>
        <v>831.25</v>
      </c>
      <c r="T542">
        <f t="shared" si="78"/>
        <v>525</v>
      </c>
      <c r="U542">
        <f t="shared" si="79"/>
        <v>306.25</v>
      </c>
      <c r="V542" s="8">
        <f t="shared" si="80"/>
        <v>0.36842105263157893</v>
      </c>
    </row>
    <row r="543" spans="1:22" x14ac:dyDescent="0.3">
      <c r="A543" t="s">
        <v>554</v>
      </c>
      <c r="B543" s="4">
        <v>45701</v>
      </c>
      <c r="C543" t="s">
        <v>581</v>
      </c>
      <c r="D543" t="str">
        <f t="shared" si="72"/>
        <v>Grace Moore</v>
      </c>
      <c r="E543" t="s">
        <v>600</v>
      </c>
      <c r="F543" t="str">
        <f t="shared" si="73"/>
        <v>Australia</v>
      </c>
      <c r="G543" t="s">
        <v>635</v>
      </c>
      <c r="H543" t="s">
        <v>639</v>
      </c>
      <c r="I543">
        <v>1</v>
      </c>
      <c r="J543" s="1">
        <v>65</v>
      </c>
      <c r="K543" s="1">
        <v>31</v>
      </c>
      <c r="L543" s="2">
        <v>0.15</v>
      </c>
      <c r="M543" t="s">
        <v>645</v>
      </c>
      <c r="N543" t="str">
        <f t="shared" si="74"/>
        <v>Bank Transfer</v>
      </c>
      <c r="O543" t="s">
        <v>648</v>
      </c>
      <c r="P543" t="str">
        <f t="shared" si="75"/>
        <v>Completed</v>
      </c>
      <c r="Q543" t="str">
        <f t="shared" si="76"/>
        <v>Valid</v>
      </c>
      <c r="R543" t="s">
        <v>663</v>
      </c>
      <c r="S543">
        <f t="shared" si="77"/>
        <v>55.25</v>
      </c>
      <c r="T543">
        <f t="shared" si="78"/>
        <v>31</v>
      </c>
      <c r="U543">
        <f t="shared" si="79"/>
        <v>24.25</v>
      </c>
      <c r="V543" s="8">
        <f t="shared" si="80"/>
        <v>0.43891402714932126</v>
      </c>
    </row>
    <row r="544" spans="1:22" x14ac:dyDescent="0.3">
      <c r="A544" t="s">
        <v>555</v>
      </c>
      <c r="B544" s="4">
        <v>45804</v>
      </c>
      <c r="C544" t="s">
        <v>563</v>
      </c>
      <c r="D544" t="str">
        <f t="shared" si="72"/>
        <v>Liam Miller</v>
      </c>
      <c r="E544" t="s">
        <v>608</v>
      </c>
      <c r="F544" t="str">
        <f t="shared" si="73"/>
        <v>India</v>
      </c>
      <c r="G544" t="s">
        <v>634</v>
      </c>
      <c r="H544" t="s">
        <v>641</v>
      </c>
      <c r="I544">
        <v>5</v>
      </c>
      <c r="J544" s="1">
        <v>59</v>
      </c>
      <c r="K544" s="1">
        <v>30</v>
      </c>
      <c r="L544" s="2">
        <v>0.2</v>
      </c>
      <c r="M544" t="s">
        <v>647</v>
      </c>
      <c r="N544" t="str">
        <f t="shared" si="74"/>
        <v>Credit Card</v>
      </c>
      <c r="O544" t="s">
        <v>651</v>
      </c>
      <c r="P544" t="str">
        <f t="shared" si="75"/>
        <v>Shipped</v>
      </c>
      <c r="Q544" t="str">
        <f t="shared" si="76"/>
        <v>Valid</v>
      </c>
      <c r="R544" t="s">
        <v>656</v>
      </c>
      <c r="S544">
        <f t="shared" si="77"/>
        <v>236</v>
      </c>
      <c r="T544">
        <f t="shared" si="78"/>
        <v>150</v>
      </c>
      <c r="U544">
        <f t="shared" si="79"/>
        <v>86</v>
      </c>
      <c r="V544" s="8">
        <f t="shared" si="80"/>
        <v>0.36440677966101692</v>
      </c>
    </row>
    <row r="545" spans="1:22" x14ac:dyDescent="0.3">
      <c r="A545" t="s">
        <v>556</v>
      </c>
      <c r="B545" s="4">
        <v>45698</v>
      </c>
      <c r="C545" t="s">
        <v>573</v>
      </c>
      <c r="D545" t="str">
        <f t="shared" si="72"/>
        <v>Noah Brown</v>
      </c>
      <c r="E545" t="s">
        <v>608</v>
      </c>
      <c r="F545" t="str">
        <f t="shared" si="73"/>
        <v>India</v>
      </c>
      <c r="G545" t="s">
        <v>626</v>
      </c>
      <c r="H545" t="s">
        <v>638</v>
      </c>
      <c r="I545">
        <v>2</v>
      </c>
      <c r="J545" s="1">
        <v>36</v>
      </c>
      <c r="K545" s="1">
        <v>16</v>
      </c>
      <c r="L545" s="2">
        <v>0</v>
      </c>
      <c r="M545" t="s">
        <v>644</v>
      </c>
      <c r="N545" t="s">
        <v>644</v>
      </c>
      <c r="O545" t="s">
        <v>648</v>
      </c>
      <c r="P545" t="str">
        <f t="shared" si="75"/>
        <v>Completed</v>
      </c>
      <c r="Q545" t="str">
        <f t="shared" si="76"/>
        <v>Valid</v>
      </c>
      <c r="R545" t="s">
        <v>667</v>
      </c>
      <c r="S545">
        <f t="shared" si="77"/>
        <v>72</v>
      </c>
      <c r="T545">
        <f t="shared" si="78"/>
        <v>32</v>
      </c>
      <c r="U545">
        <f t="shared" si="79"/>
        <v>40</v>
      </c>
      <c r="V545" s="8">
        <f t="shared" si="80"/>
        <v>0.55555555555555558</v>
      </c>
    </row>
    <row r="546" spans="1:22" x14ac:dyDescent="0.3">
      <c r="A546" t="s">
        <v>557</v>
      </c>
      <c r="B546" s="4">
        <v>45705</v>
      </c>
      <c r="C546" t="s">
        <v>592</v>
      </c>
      <c r="D546" t="str">
        <f t="shared" si="72"/>
        <v>Ava Thomas</v>
      </c>
      <c r="E546" t="s">
        <v>621</v>
      </c>
      <c r="F546" t="str">
        <f t="shared" si="73"/>
        <v>Canada</v>
      </c>
      <c r="G546" t="s">
        <v>632</v>
      </c>
      <c r="H546" t="s">
        <v>639</v>
      </c>
      <c r="I546">
        <v>5</v>
      </c>
      <c r="J546" s="1">
        <v>42</v>
      </c>
      <c r="K546" s="1">
        <v>21</v>
      </c>
      <c r="L546" s="2">
        <v>0.05</v>
      </c>
      <c r="M546" t="s">
        <v>642</v>
      </c>
      <c r="N546" t="s">
        <v>644</v>
      </c>
      <c r="O546" t="s">
        <v>648</v>
      </c>
      <c r="P546" t="str">
        <f t="shared" si="75"/>
        <v>Completed</v>
      </c>
      <c r="Q546" t="str">
        <f t="shared" si="76"/>
        <v>Valid</v>
      </c>
      <c r="R546" t="s">
        <v>657</v>
      </c>
      <c r="S546">
        <f t="shared" si="77"/>
        <v>199.5</v>
      </c>
      <c r="T546">
        <f t="shared" si="78"/>
        <v>105</v>
      </c>
      <c r="U546">
        <f t="shared" si="79"/>
        <v>94.5</v>
      </c>
      <c r="V546" s="8">
        <f t="shared" si="80"/>
        <v>0.47368421052631576</v>
      </c>
    </row>
    <row r="547" spans="1:22" x14ac:dyDescent="0.3">
      <c r="A547" t="s">
        <v>558</v>
      </c>
      <c r="B547" s="4">
        <v>45758</v>
      </c>
      <c r="C547" t="s">
        <v>571</v>
      </c>
      <c r="D547" t="str">
        <f t="shared" si="72"/>
        <v>Henry Clark</v>
      </c>
      <c r="E547" t="s">
        <v>612</v>
      </c>
      <c r="F547" t="str">
        <f t="shared" si="73"/>
        <v>United Kingdom</v>
      </c>
      <c r="G547" t="s">
        <v>627</v>
      </c>
      <c r="H547" t="s">
        <v>639</v>
      </c>
      <c r="I547">
        <v>3</v>
      </c>
      <c r="J547" s="1">
        <v>38</v>
      </c>
      <c r="K547" s="1">
        <v>17</v>
      </c>
      <c r="L547" s="2">
        <v>0.1</v>
      </c>
      <c r="M547" t="s">
        <v>644</v>
      </c>
      <c r="N547" t="s">
        <v>644</v>
      </c>
      <c r="O547" t="s">
        <v>651</v>
      </c>
      <c r="P547" t="str">
        <f t="shared" si="75"/>
        <v>Shipped</v>
      </c>
      <c r="Q547" t="str">
        <f t="shared" si="76"/>
        <v>Valid</v>
      </c>
      <c r="R547" t="s">
        <v>664</v>
      </c>
      <c r="S547">
        <f t="shared" si="77"/>
        <v>102.60000000000001</v>
      </c>
      <c r="T547">
        <f t="shared" si="78"/>
        <v>51</v>
      </c>
      <c r="U547">
        <f t="shared" si="79"/>
        <v>51.600000000000009</v>
      </c>
      <c r="V547" s="8">
        <f t="shared" si="80"/>
        <v>0.50292397660818722</v>
      </c>
    </row>
    <row r="548" spans="1:22" x14ac:dyDescent="0.3">
      <c r="A548" t="s">
        <v>559</v>
      </c>
      <c r="B548" s="4">
        <v>45768</v>
      </c>
      <c r="C548" t="s">
        <v>568</v>
      </c>
      <c r="D548" t="str">
        <f t="shared" si="72"/>
        <v>Daniel Harris</v>
      </c>
      <c r="E548" t="s">
        <v>622</v>
      </c>
      <c r="F548" t="str">
        <f t="shared" si="73"/>
        <v>United Arab Emirates</v>
      </c>
      <c r="G548" t="s">
        <v>635</v>
      </c>
      <c r="H548" t="s">
        <v>639</v>
      </c>
      <c r="I548">
        <v>5</v>
      </c>
      <c r="J548" s="1">
        <v>65</v>
      </c>
      <c r="K548" s="1">
        <v>31</v>
      </c>
      <c r="L548" s="2">
        <v>0</v>
      </c>
      <c r="M548" t="s">
        <v>645</v>
      </c>
      <c r="N548" t="str">
        <f t="shared" si="74"/>
        <v>Bank Transfer</v>
      </c>
      <c r="O548" t="s">
        <v>648</v>
      </c>
      <c r="P548" t="str">
        <f t="shared" si="75"/>
        <v>Completed</v>
      </c>
      <c r="Q548" t="str">
        <f t="shared" si="76"/>
        <v>Valid</v>
      </c>
      <c r="R548" t="s">
        <v>666</v>
      </c>
      <c r="S548">
        <f t="shared" si="77"/>
        <v>325</v>
      </c>
      <c r="T548">
        <f t="shared" si="78"/>
        <v>155</v>
      </c>
      <c r="U548">
        <f t="shared" si="79"/>
        <v>170</v>
      </c>
      <c r="V548" s="8">
        <f t="shared" si="80"/>
        <v>0.52307692307692311</v>
      </c>
    </row>
    <row r="549" spans="1:22" x14ac:dyDescent="0.3">
      <c r="A549" t="s">
        <v>560</v>
      </c>
      <c r="B549" s="4">
        <v>45836</v>
      </c>
      <c r="C549" t="s">
        <v>563</v>
      </c>
      <c r="D549" t="str">
        <f t="shared" si="72"/>
        <v>Liam Miller</v>
      </c>
      <c r="E549" t="s">
        <v>599</v>
      </c>
      <c r="F549" t="str">
        <f t="shared" si="73"/>
        <v>United Arab Emirates</v>
      </c>
      <c r="G549" t="s">
        <v>632</v>
      </c>
      <c r="H549" t="s">
        <v>639</v>
      </c>
      <c r="I549">
        <v>5</v>
      </c>
      <c r="J549" s="1">
        <v>42</v>
      </c>
      <c r="K549" s="1">
        <v>21</v>
      </c>
      <c r="L549" s="2">
        <v>0.15</v>
      </c>
      <c r="M549" t="s">
        <v>646</v>
      </c>
      <c r="N549" t="str">
        <f t="shared" si="74"/>
        <v>Debit Card</v>
      </c>
      <c r="O549" t="s">
        <v>649</v>
      </c>
      <c r="P549" t="str">
        <f t="shared" si="75"/>
        <v>Pending</v>
      </c>
      <c r="Q549" t="str">
        <f t="shared" si="76"/>
        <v>Valid</v>
      </c>
      <c r="R549" t="s">
        <v>656</v>
      </c>
      <c r="S549">
        <f t="shared" si="77"/>
        <v>178.5</v>
      </c>
      <c r="T549">
        <f t="shared" si="78"/>
        <v>105</v>
      </c>
      <c r="U549">
        <f t="shared" si="79"/>
        <v>73.5</v>
      </c>
      <c r="V549" s="8">
        <f t="shared" si="80"/>
        <v>0.41176470588235292</v>
      </c>
    </row>
    <row r="550" spans="1:22" x14ac:dyDescent="0.3">
      <c r="A550" t="s">
        <v>561</v>
      </c>
      <c r="B550" s="4">
        <v>45803</v>
      </c>
      <c r="C550" t="s">
        <v>583</v>
      </c>
      <c r="D550" t="str">
        <f t="shared" si="72"/>
        <v>Ethan Anderson</v>
      </c>
      <c r="E550" t="s">
        <v>619</v>
      </c>
      <c r="F550" t="str">
        <f t="shared" si="73"/>
        <v>India</v>
      </c>
      <c r="G550" t="s">
        <v>635</v>
      </c>
      <c r="H550" t="s">
        <v>639</v>
      </c>
      <c r="I550">
        <v>3</v>
      </c>
      <c r="J550" s="1">
        <v>65</v>
      </c>
      <c r="K550" s="1">
        <v>31</v>
      </c>
      <c r="L550" s="2">
        <v>0.15</v>
      </c>
      <c r="M550" t="s">
        <v>646</v>
      </c>
      <c r="N550" t="str">
        <f t="shared" si="74"/>
        <v>Debit Card</v>
      </c>
      <c r="O550" t="s">
        <v>648</v>
      </c>
      <c r="P550" t="str">
        <f t="shared" si="75"/>
        <v>Completed</v>
      </c>
      <c r="Q550" t="str">
        <f t="shared" si="76"/>
        <v>Valid</v>
      </c>
      <c r="R550" t="s">
        <v>673</v>
      </c>
      <c r="S550">
        <f t="shared" si="77"/>
        <v>165.75</v>
      </c>
      <c r="T550">
        <f t="shared" si="78"/>
        <v>93</v>
      </c>
      <c r="U550">
        <f t="shared" si="79"/>
        <v>72.75</v>
      </c>
      <c r="V550" s="8">
        <f t="shared" si="80"/>
        <v>0.43891402714932126</v>
      </c>
    </row>
    <row r="551" spans="1:22" x14ac:dyDescent="0.3">
      <c r="A551" t="s">
        <v>562</v>
      </c>
      <c r="B551" s="4">
        <v>45802</v>
      </c>
      <c r="C551" t="s">
        <v>569</v>
      </c>
      <c r="D551" t="str">
        <f t="shared" si="72"/>
        <v>Mia White</v>
      </c>
      <c r="E551" t="s">
        <v>602</v>
      </c>
      <c r="F551" t="str">
        <f t="shared" si="73"/>
        <v>Australia</v>
      </c>
      <c r="G551" t="s">
        <v>636</v>
      </c>
      <c r="H551" t="s">
        <v>641</v>
      </c>
      <c r="I551">
        <v>5</v>
      </c>
      <c r="J551" s="1">
        <v>245</v>
      </c>
      <c r="K551" s="1">
        <v>150</v>
      </c>
      <c r="L551" s="2">
        <v>0.2</v>
      </c>
      <c r="M551" t="s">
        <v>646</v>
      </c>
      <c r="N551" t="str">
        <f t="shared" si="74"/>
        <v>Debit Card</v>
      </c>
      <c r="O551" t="s">
        <v>648</v>
      </c>
      <c r="P551" t="str">
        <f t="shared" si="75"/>
        <v>Completed</v>
      </c>
      <c r="Q551" t="str">
        <f t="shared" si="76"/>
        <v>Valid</v>
      </c>
      <c r="R551" t="s">
        <v>662</v>
      </c>
      <c r="S551">
        <f t="shared" si="77"/>
        <v>980</v>
      </c>
      <c r="T551">
        <f t="shared" si="78"/>
        <v>750</v>
      </c>
      <c r="U551">
        <f t="shared" si="79"/>
        <v>230</v>
      </c>
      <c r="V551" s="8">
        <f t="shared" si="80"/>
        <v>0.23469387755102042</v>
      </c>
    </row>
  </sheetData>
  <autoFilter ref="A1:R559" xr:uid="{5ECCF9CC-0495-42AF-873D-5CF38C118DF9}"/>
  <conditionalFormatting sqref="A1:R2 A3:C551 G3:M551 F3:F559 E3:E551 D3:D559 O3:O551 N3:N559 R3:R551 P3:Q559 S1:V1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1219E-A991-4E2B-817C-BAC87649D238}">
  <dimension ref="A1:B7"/>
  <sheetViews>
    <sheetView workbookViewId="0">
      <selection activeCell="D15" sqref="D15"/>
    </sheetView>
  </sheetViews>
  <sheetFormatPr defaultRowHeight="14.4" x14ac:dyDescent="0.3"/>
  <cols>
    <col min="1" max="1" width="18.109375" bestFit="1" customWidth="1"/>
    <col min="2" max="2" width="9" bestFit="1" customWidth="1"/>
  </cols>
  <sheetData>
    <row r="1" spans="1:2" x14ac:dyDescent="0.3">
      <c r="A1" t="s">
        <v>724</v>
      </c>
      <c r="B1" t="s">
        <v>730</v>
      </c>
    </row>
    <row r="2" spans="1:2" x14ac:dyDescent="0.3">
      <c r="A2" t="s">
        <v>725</v>
      </c>
      <c r="B2">
        <f>SUM(Clean_Data!S2:S551)</f>
        <v>147019.1</v>
      </c>
    </row>
    <row r="3" spans="1:2" x14ac:dyDescent="0.3">
      <c r="A3" t="s">
        <v>726</v>
      </c>
      <c r="B3">
        <f>SUM(Clean_Data!T2:T551)</f>
        <v>88021</v>
      </c>
    </row>
    <row r="4" spans="1:2" x14ac:dyDescent="0.3">
      <c r="A4" t="s">
        <v>727</v>
      </c>
      <c r="B4">
        <f>SUM(Clean_Data!U2:U551)</f>
        <v>58998.1</v>
      </c>
    </row>
    <row r="5" spans="1:2" x14ac:dyDescent="0.3">
      <c r="A5" t="s">
        <v>728</v>
      </c>
      <c r="B5" s="8">
        <f>IF(B2=0,0,B4/B2)</f>
        <v>0.40129547793449966</v>
      </c>
    </row>
    <row r="6" spans="1:2" x14ac:dyDescent="0.3">
      <c r="A6" t="s">
        <v>729</v>
      </c>
      <c r="B6">
        <f>COUNTA(Clean_Data!A2:A551)</f>
        <v>550</v>
      </c>
    </row>
    <row r="7" spans="1:2" x14ac:dyDescent="0.3">
      <c r="A7" t="s">
        <v>731</v>
      </c>
      <c r="B7">
        <f>IF(B6=0,0,B2/B6)</f>
        <v>267.30745454545456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9"/>
  <sheetViews>
    <sheetView workbookViewId="0">
      <pane ySplit="1" topLeftCell="A2" activePane="bottomLeft" state="frozen"/>
      <selection activeCell="D15" sqref="D15"/>
      <selection pane="bottomLeft" activeCell="D15" sqref="D15"/>
    </sheetView>
  </sheetViews>
  <sheetFormatPr defaultRowHeight="14.4" x14ac:dyDescent="0.3"/>
  <cols>
    <col min="1" max="1" width="11.6640625" customWidth="1"/>
    <col min="2" max="2" width="18.109375" bestFit="1" customWidth="1"/>
    <col min="3" max="4" width="17.6640625" customWidth="1"/>
    <col min="5" max="5" width="21.6640625" customWidth="1"/>
    <col min="6" max="6" width="13.6640625" customWidth="1"/>
    <col min="7" max="7" width="10.6640625" customWidth="1"/>
    <col min="8" max="9" width="14.6640625" style="1" customWidth="1"/>
    <col min="10" max="10" width="12.6640625" style="2" customWidth="1"/>
    <col min="11" max="11" width="16.6640625" customWidth="1"/>
    <col min="12" max="12" width="14.6640625" customWidth="1"/>
    <col min="13" max="13" width="28.6640625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t="s">
        <v>13</v>
      </c>
      <c r="B2" s="4">
        <v>45735</v>
      </c>
      <c r="C2" t="s">
        <v>563</v>
      </c>
      <c r="D2" t="s">
        <v>599</v>
      </c>
      <c r="E2" t="s">
        <v>626</v>
      </c>
      <c r="F2" t="s">
        <v>638</v>
      </c>
      <c r="G2">
        <v>3</v>
      </c>
      <c r="H2" s="1">
        <v>36</v>
      </c>
      <c r="I2" s="1">
        <v>16</v>
      </c>
      <c r="J2" s="2">
        <v>0</v>
      </c>
      <c r="K2" t="s">
        <v>642</v>
      </c>
      <c r="L2" t="s">
        <v>648</v>
      </c>
      <c r="M2" t="s">
        <v>656</v>
      </c>
    </row>
    <row r="3" spans="1:13" x14ac:dyDescent="0.3">
      <c r="A3" t="s">
        <v>14</v>
      </c>
      <c r="B3" s="4">
        <v>45894</v>
      </c>
      <c r="C3" t="s">
        <v>564</v>
      </c>
      <c r="D3" t="s">
        <v>599</v>
      </c>
      <c r="E3" t="s">
        <v>627</v>
      </c>
      <c r="F3" t="s">
        <v>639</v>
      </c>
      <c r="G3">
        <v>4</v>
      </c>
      <c r="H3" s="1">
        <v>38</v>
      </c>
      <c r="I3" s="1">
        <v>17</v>
      </c>
      <c r="J3" s="2">
        <v>0</v>
      </c>
      <c r="K3" t="s">
        <v>643</v>
      </c>
      <c r="L3" t="s">
        <v>648</v>
      </c>
      <c r="M3" t="s">
        <v>657</v>
      </c>
    </row>
    <row r="4" spans="1:13" x14ac:dyDescent="0.3">
      <c r="A4" t="s">
        <v>15</v>
      </c>
      <c r="B4" s="4">
        <v>45777</v>
      </c>
      <c r="C4" t="s">
        <v>565</v>
      </c>
      <c r="D4" t="s">
        <v>600</v>
      </c>
      <c r="E4" t="s">
        <v>628</v>
      </c>
      <c r="F4" t="s">
        <v>639</v>
      </c>
      <c r="G4">
        <v>1</v>
      </c>
      <c r="H4" s="1">
        <v>18</v>
      </c>
      <c r="I4" s="1">
        <v>7</v>
      </c>
      <c r="J4" s="2">
        <v>0.05</v>
      </c>
      <c r="K4" t="s">
        <v>644</v>
      </c>
      <c r="L4" t="s">
        <v>648</v>
      </c>
      <c r="M4" t="s">
        <v>658</v>
      </c>
    </row>
    <row r="5" spans="1:13" x14ac:dyDescent="0.3">
      <c r="A5" t="s">
        <v>16</v>
      </c>
      <c r="B5" s="4">
        <v>45834</v>
      </c>
      <c r="C5" t="s">
        <v>563</v>
      </c>
      <c r="D5" t="s">
        <v>601</v>
      </c>
      <c r="E5" t="s">
        <v>629</v>
      </c>
      <c r="F5" t="s">
        <v>640</v>
      </c>
      <c r="G5">
        <v>1</v>
      </c>
      <c r="H5" s="1">
        <v>92</v>
      </c>
      <c r="I5" s="1">
        <v>53</v>
      </c>
      <c r="J5" s="2">
        <v>0</v>
      </c>
      <c r="K5" t="s">
        <v>643</v>
      </c>
      <c r="L5" t="s">
        <v>648</v>
      </c>
      <c r="M5" t="s">
        <v>656</v>
      </c>
    </row>
    <row r="6" spans="1:13" x14ac:dyDescent="0.3">
      <c r="A6" t="s">
        <v>17</v>
      </c>
      <c r="B6" s="4">
        <v>46000</v>
      </c>
      <c r="C6" t="s">
        <v>566</v>
      </c>
      <c r="D6" t="s">
        <v>602</v>
      </c>
      <c r="E6" t="s">
        <v>629</v>
      </c>
      <c r="F6" t="s">
        <v>640</v>
      </c>
      <c r="G6">
        <v>1</v>
      </c>
      <c r="H6" s="1">
        <v>92</v>
      </c>
      <c r="I6" s="1">
        <v>53</v>
      </c>
      <c r="J6" s="2">
        <v>0.05</v>
      </c>
      <c r="K6" t="s">
        <v>645</v>
      </c>
      <c r="L6" t="s">
        <v>649</v>
      </c>
      <c r="M6" t="s">
        <v>659</v>
      </c>
    </row>
    <row r="7" spans="1:13" x14ac:dyDescent="0.3">
      <c r="A7" t="s">
        <v>18</v>
      </c>
      <c r="B7" s="4">
        <v>45764</v>
      </c>
      <c r="C7" t="s">
        <v>567</v>
      </c>
      <c r="D7" t="s">
        <v>603</v>
      </c>
      <c r="E7" t="s">
        <v>630</v>
      </c>
      <c r="F7" t="s">
        <v>640</v>
      </c>
      <c r="G7">
        <v>5</v>
      </c>
      <c r="H7" s="1">
        <v>78</v>
      </c>
      <c r="I7" s="1">
        <v>45</v>
      </c>
      <c r="J7" s="2">
        <v>0.1</v>
      </c>
      <c r="K7" t="s">
        <v>646</v>
      </c>
      <c r="L7" t="s">
        <v>648</v>
      </c>
      <c r="M7" t="s">
        <v>660</v>
      </c>
    </row>
    <row r="8" spans="1:13" x14ac:dyDescent="0.3">
      <c r="A8" t="s">
        <v>19</v>
      </c>
      <c r="B8" s="4">
        <v>45900</v>
      </c>
      <c r="C8" t="s">
        <v>568</v>
      </c>
      <c r="D8" t="s">
        <v>604</v>
      </c>
      <c r="E8" t="s">
        <v>626</v>
      </c>
      <c r="F8" t="s">
        <v>638</v>
      </c>
      <c r="G8">
        <v>2</v>
      </c>
      <c r="H8" s="1">
        <v>36</v>
      </c>
      <c r="I8" s="1">
        <v>16</v>
      </c>
      <c r="J8" s="2">
        <v>0.15</v>
      </c>
      <c r="K8" t="s">
        <v>645</v>
      </c>
      <c r="L8" t="s">
        <v>648</v>
      </c>
      <c r="M8" t="s">
        <v>661</v>
      </c>
    </row>
    <row r="9" spans="1:13" x14ac:dyDescent="0.3">
      <c r="A9" t="s">
        <v>20</v>
      </c>
      <c r="B9" s="4">
        <v>45753</v>
      </c>
      <c r="C9" t="s">
        <v>569</v>
      </c>
      <c r="D9" t="s">
        <v>603</v>
      </c>
      <c r="E9" t="s">
        <v>631</v>
      </c>
      <c r="F9" t="s">
        <v>641</v>
      </c>
      <c r="G9">
        <v>4</v>
      </c>
      <c r="H9" s="1">
        <v>85</v>
      </c>
      <c r="I9" s="1">
        <v>44</v>
      </c>
      <c r="J9" s="2">
        <v>0</v>
      </c>
      <c r="K9" t="s">
        <v>643</v>
      </c>
      <c r="L9" t="s">
        <v>648</v>
      </c>
      <c r="M9" t="s">
        <v>662</v>
      </c>
    </row>
    <row r="10" spans="1:13" x14ac:dyDescent="0.3">
      <c r="A10" t="s">
        <v>21</v>
      </c>
      <c r="B10" s="4">
        <v>45743</v>
      </c>
      <c r="C10" t="s">
        <v>570</v>
      </c>
      <c r="D10" t="s">
        <v>605</v>
      </c>
      <c r="E10" t="s">
        <v>632</v>
      </c>
      <c r="F10" t="s">
        <v>639</v>
      </c>
      <c r="G10">
        <v>3</v>
      </c>
      <c r="H10" s="1">
        <v>42</v>
      </c>
      <c r="I10" s="1">
        <v>21</v>
      </c>
      <c r="J10" s="2">
        <v>0.05</v>
      </c>
      <c r="K10" t="s">
        <v>642</v>
      </c>
      <c r="L10" t="s">
        <v>650</v>
      </c>
      <c r="M10" t="s">
        <v>663</v>
      </c>
    </row>
    <row r="11" spans="1:13" x14ac:dyDescent="0.3">
      <c r="A11" t="s">
        <v>22</v>
      </c>
      <c r="B11" s="4">
        <v>45914</v>
      </c>
      <c r="C11" t="s">
        <v>571</v>
      </c>
      <c r="D11" t="s">
        <v>606</v>
      </c>
      <c r="E11" t="s">
        <v>633</v>
      </c>
      <c r="F11" t="s">
        <v>638</v>
      </c>
      <c r="G11">
        <v>1</v>
      </c>
      <c r="H11" s="1">
        <v>210</v>
      </c>
      <c r="I11" s="1">
        <v>125</v>
      </c>
      <c r="J11" s="2">
        <v>0.05</v>
      </c>
      <c r="K11" t="s">
        <v>644</v>
      </c>
      <c r="L11" t="s">
        <v>650</v>
      </c>
      <c r="M11" t="s">
        <v>664</v>
      </c>
    </row>
    <row r="12" spans="1:13" x14ac:dyDescent="0.3">
      <c r="A12" t="s">
        <v>23</v>
      </c>
      <c r="B12" s="4">
        <v>45801</v>
      </c>
      <c r="C12" t="s">
        <v>572</v>
      </c>
      <c r="D12" t="s">
        <v>607</v>
      </c>
      <c r="E12" t="s">
        <v>634</v>
      </c>
      <c r="F12" t="s">
        <v>641</v>
      </c>
      <c r="G12">
        <v>3</v>
      </c>
      <c r="H12" s="1">
        <v>59</v>
      </c>
      <c r="I12" s="1">
        <v>30</v>
      </c>
      <c r="J12" s="2">
        <v>0.05</v>
      </c>
      <c r="K12" t="s">
        <v>643</v>
      </c>
      <c r="L12" t="s">
        <v>648</v>
      </c>
      <c r="M12" t="s">
        <v>665</v>
      </c>
    </row>
    <row r="13" spans="1:13" x14ac:dyDescent="0.3">
      <c r="A13" t="s">
        <v>24</v>
      </c>
      <c r="B13" s="4">
        <v>45918</v>
      </c>
      <c r="C13" t="s">
        <v>568</v>
      </c>
      <c r="D13" t="s">
        <v>605</v>
      </c>
      <c r="E13" t="s">
        <v>632</v>
      </c>
      <c r="F13" t="s">
        <v>639</v>
      </c>
      <c r="G13">
        <v>3</v>
      </c>
      <c r="H13" s="1">
        <v>42</v>
      </c>
      <c r="I13" s="1">
        <v>21</v>
      </c>
      <c r="J13" s="2">
        <v>0</v>
      </c>
      <c r="K13" t="s">
        <v>642</v>
      </c>
      <c r="L13" t="s">
        <v>649</v>
      </c>
      <c r="M13" t="s">
        <v>666</v>
      </c>
    </row>
    <row r="14" spans="1:13" x14ac:dyDescent="0.3">
      <c r="A14" t="s">
        <v>25</v>
      </c>
      <c r="B14" s="4">
        <v>45830</v>
      </c>
      <c r="C14" t="s">
        <v>573</v>
      </c>
      <c r="D14" t="s">
        <v>603</v>
      </c>
      <c r="E14" t="s">
        <v>631</v>
      </c>
      <c r="F14" t="s">
        <v>641</v>
      </c>
      <c r="G14">
        <v>3</v>
      </c>
      <c r="H14" s="1">
        <v>85</v>
      </c>
      <c r="I14" s="1">
        <v>44</v>
      </c>
      <c r="J14" s="2">
        <v>0</v>
      </c>
      <c r="K14" t="s">
        <v>646</v>
      </c>
      <c r="L14" t="s">
        <v>648</v>
      </c>
      <c r="M14" t="s">
        <v>667</v>
      </c>
    </row>
    <row r="15" spans="1:13" x14ac:dyDescent="0.3">
      <c r="A15" t="s">
        <v>26</v>
      </c>
      <c r="B15" s="4">
        <v>45825</v>
      </c>
      <c r="C15" t="s">
        <v>571</v>
      </c>
      <c r="D15" t="s">
        <v>608</v>
      </c>
      <c r="E15" t="s">
        <v>626</v>
      </c>
      <c r="F15" t="s">
        <v>638</v>
      </c>
      <c r="G15">
        <v>4</v>
      </c>
      <c r="H15" s="1">
        <v>36</v>
      </c>
      <c r="I15" s="1">
        <v>16</v>
      </c>
      <c r="J15" s="2">
        <v>0</v>
      </c>
      <c r="K15" t="s">
        <v>643</v>
      </c>
      <c r="L15" t="s">
        <v>648</v>
      </c>
      <c r="M15" t="s">
        <v>664</v>
      </c>
    </row>
    <row r="16" spans="1:13" x14ac:dyDescent="0.3">
      <c r="A16" t="s">
        <v>27</v>
      </c>
      <c r="B16" s="4">
        <v>45795</v>
      </c>
      <c r="C16" t="s">
        <v>574</v>
      </c>
      <c r="D16" t="s">
        <v>609</v>
      </c>
      <c r="E16" t="s">
        <v>634</v>
      </c>
      <c r="F16" t="s">
        <v>641</v>
      </c>
      <c r="G16">
        <v>5</v>
      </c>
      <c r="H16" s="1">
        <v>59</v>
      </c>
      <c r="I16" s="1">
        <v>30</v>
      </c>
      <c r="J16" s="2">
        <v>0.1</v>
      </c>
      <c r="K16" t="s">
        <v>643</v>
      </c>
      <c r="L16" t="s">
        <v>649</v>
      </c>
      <c r="M16" t="s">
        <v>660</v>
      </c>
    </row>
    <row r="17" spans="1:13" x14ac:dyDescent="0.3">
      <c r="A17" t="s">
        <v>28</v>
      </c>
      <c r="B17" s="4">
        <v>46018</v>
      </c>
      <c r="C17" t="s">
        <v>564</v>
      </c>
      <c r="D17" t="s">
        <v>610</v>
      </c>
      <c r="E17" t="s">
        <v>626</v>
      </c>
      <c r="F17" t="s">
        <v>638</v>
      </c>
      <c r="G17">
        <v>2</v>
      </c>
      <c r="H17" s="1">
        <v>36</v>
      </c>
      <c r="I17" s="1">
        <v>16</v>
      </c>
      <c r="J17" s="2">
        <v>0.1</v>
      </c>
      <c r="K17" t="s">
        <v>645</v>
      </c>
      <c r="L17" t="s">
        <v>648</v>
      </c>
      <c r="M17" t="s">
        <v>657</v>
      </c>
    </row>
    <row r="18" spans="1:13" x14ac:dyDescent="0.3">
      <c r="A18" t="s">
        <v>29</v>
      </c>
      <c r="B18" s="4">
        <v>45908</v>
      </c>
      <c r="C18" t="s">
        <v>563</v>
      </c>
      <c r="D18" t="s">
        <v>600</v>
      </c>
      <c r="E18" t="s">
        <v>635</v>
      </c>
      <c r="F18" t="s">
        <v>639</v>
      </c>
      <c r="G18">
        <v>1</v>
      </c>
      <c r="H18" s="1">
        <v>65</v>
      </c>
      <c r="I18" s="1">
        <v>31</v>
      </c>
      <c r="J18" s="2">
        <v>0.05</v>
      </c>
      <c r="K18" t="s">
        <v>647</v>
      </c>
      <c r="L18" t="s">
        <v>648</v>
      </c>
      <c r="M18" t="s">
        <v>656</v>
      </c>
    </row>
    <row r="19" spans="1:13" x14ac:dyDescent="0.3">
      <c r="A19" t="s">
        <v>30</v>
      </c>
      <c r="B19" s="4">
        <v>45704</v>
      </c>
      <c r="C19" t="s">
        <v>575</v>
      </c>
      <c r="D19" t="s">
        <v>604</v>
      </c>
      <c r="E19" t="s">
        <v>635</v>
      </c>
      <c r="F19" t="s">
        <v>639</v>
      </c>
      <c r="G19">
        <v>2</v>
      </c>
      <c r="H19" s="1">
        <v>65</v>
      </c>
      <c r="I19" s="1">
        <v>31</v>
      </c>
      <c r="J19" s="2">
        <v>0.1</v>
      </c>
      <c r="K19" t="s">
        <v>642</v>
      </c>
      <c r="L19" t="s">
        <v>648</v>
      </c>
      <c r="M19" t="s">
        <v>668</v>
      </c>
    </row>
    <row r="20" spans="1:13" x14ac:dyDescent="0.3">
      <c r="A20" t="s">
        <v>31</v>
      </c>
      <c r="B20" s="4">
        <v>45979</v>
      </c>
      <c r="C20" t="s">
        <v>571</v>
      </c>
      <c r="D20" t="s">
        <v>611</v>
      </c>
      <c r="E20" t="s">
        <v>627</v>
      </c>
      <c r="F20" t="s">
        <v>639</v>
      </c>
      <c r="G20">
        <v>4</v>
      </c>
      <c r="H20" s="1">
        <v>38</v>
      </c>
      <c r="I20" s="1">
        <v>17</v>
      </c>
      <c r="J20" s="2">
        <v>0.15</v>
      </c>
      <c r="K20" t="s">
        <v>645</v>
      </c>
      <c r="L20" t="s">
        <v>649</v>
      </c>
    </row>
    <row r="21" spans="1:13" x14ac:dyDescent="0.3">
      <c r="A21" t="s">
        <v>32</v>
      </c>
      <c r="B21" s="4">
        <v>45815</v>
      </c>
      <c r="C21" t="s">
        <v>576</v>
      </c>
      <c r="D21" t="s">
        <v>607</v>
      </c>
      <c r="E21" t="s">
        <v>629</v>
      </c>
      <c r="F21" t="s">
        <v>640</v>
      </c>
      <c r="G21">
        <v>1</v>
      </c>
      <c r="H21" s="1">
        <v>92</v>
      </c>
      <c r="I21" s="1">
        <v>53</v>
      </c>
      <c r="J21" s="2">
        <v>0.2</v>
      </c>
      <c r="K21" t="s">
        <v>645</v>
      </c>
      <c r="L21" t="s">
        <v>651</v>
      </c>
      <c r="M21" t="s">
        <v>669</v>
      </c>
    </row>
    <row r="22" spans="1:13" x14ac:dyDescent="0.3">
      <c r="A22" t="s">
        <v>33</v>
      </c>
      <c r="B22" s="4">
        <v>45889</v>
      </c>
      <c r="C22" t="s">
        <v>576</v>
      </c>
      <c r="D22" t="s">
        <v>612</v>
      </c>
      <c r="E22" t="s">
        <v>634</v>
      </c>
      <c r="F22" t="s">
        <v>641</v>
      </c>
      <c r="G22">
        <v>4</v>
      </c>
      <c r="H22" s="1">
        <v>59</v>
      </c>
      <c r="I22" s="1">
        <v>30</v>
      </c>
      <c r="J22" s="2">
        <v>0.15</v>
      </c>
      <c r="K22" t="s">
        <v>647</v>
      </c>
      <c r="L22" t="s">
        <v>648</v>
      </c>
    </row>
    <row r="23" spans="1:13" x14ac:dyDescent="0.3">
      <c r="A23" t="s">
        <v>34</v>
      </c>
      <c r="B23" s="4">
        <v>45831</v>
      </c>
      <c r="C23" t="s">
        <v>564</v>
      </c>
      <c r="D23" t="s">
        <v>613</v>
      </c>
      <c r="E23" t="s">
        <v>630</v>
      </c>
      <c r="F23" t="s">
        <v>640</v>
      </c>
      <c r="G23">
        <v>4</v>
      </c>
      <c r="H23" s="1">
        <v>78</v>
      </c>
      <c r="I23" s="1">
        <v>45</v>
      </c>
      <c r="J23" s="2">
        <v>0.1</v>
      </c>
      <c r="L23" t="s">
        <v>649</v>
      </c>
      <c r="M23" t="s">
        <v>657</v>
      </c>
    </row>
    <row r="24" spans="1:13" x14ac:dyDescent="0.3">
      <c r="A24" t="s">
        <v>35</v>
      </c>
      <c r="B24" s="4">
        <v>45792</v>
      </c>
      <c r="C24" t="s">
        <v>573</v>
      </c>
      <c r="D24" t="s">
        <v>614</v>
      </c>
      <c r="E24" t="s">
        <v>632</v>
      </c>
      <c r="F24" t="s">
        <v>639</v>
      </c>
      <c r="G24">
        <v>4</v>
      </c>
      <c r="H24" s="1">
        <v>42</v>
      </c>
      <c r="I24" s="1">
        <v>21</v>
      </c>
      <c r="J24" s="2">
        <v>0.05</v>
      </c>
      <c r="K24" t="s">
        <v>647</v>
      </c>
      <c r="L24" t="s">
        <v>650</v>
      </c>
      <c r="M24" t="s">
        <v>667</v>
      </c>
    </row>
    <row r="25" spans="1:13" x14ac:dyDescent="0.3">
      <c r="A25" t="s">
        <v>36</v>
      </c>
      <c r="B25" s="4">
        <v>45933</v>
      </c>
      <c r="C25" t="s">
        <v>573</v>
      </c>
      <c r="D25" t="s">
        <v>615</v>
      </c>
      <c r="E25" t="s">
        <v>634</v>
      </c>
      <c r="F25" t="s">
        <v>641</v>
      </c>
      <c r="G25">
        <v>2</v>
      </c>
      <c r="H25" s="1">
        <v>59</v>
      </c>
      <c r="I25" s="1">
        <v>30</v>
      </c>
      <c r="J25" s="2">
        <v>0</v>
      </c>
      <c r="K25" t="s">
        <v>644</v>
      </c>
      <c r="L25" t="s">
        <v>648</v>
      </c>
      <c r="M25" t="s">
        <v>667</v>
      </c>
    </row>
    <row r="26" spans="1:13" x14ac:dyDescent="0.3">
      <c r="A26" t="s">
        <v>37</v>
      </c>
      <c r="B26" s="4">
        <v>45684</v>
      </c>
      <c r="C26" t="s">
        <v>577</v>
      </c>
      <c r="D26" t="s">
        <v>611</v>
      </c>
      <c r="E26" t="s">
        <v>631</v>
      </c>
      <c r="F26" t="s">
        <v>641</v>
      </c>
      <c r="G26">
        <v>4</v>
      </c>
      <c r="H26" s="1">
        <v>85</v>
      </c>
      <c r="I26" s="1">
        <v>44</v>
      </c>
      <c r="J26" s="2">
        <v>0.05</v>
      </c>
      <c r="K26" t="s">
        <v>642</v>
      </c>
      <c r="L26" t="s">
        <v>650</v>
      </c>
      <c r="M26" t="s">
        <v>670</v>
      </c>
    </row>
    <row r="27" spans="1:13" x14ac:dyDescent="0.3">
      <c r="A27" t="s">
        <v>38</v>
      </c>
      <c r="B27" s="4">
        <v>45733</v>
      </c>
      <c r="C27" t="s">
        <v>571</v>
      </c>
      <c r="D27" t="s">
        <v>608</v>
      </c>
      <c r="E27" t="s">
        <v>635</v>
      </c>
      <c r="F27" t="s">
        <v>639</v>
      </c>
      <c r="G27">
        <v>1</v>
      </c>
      <c r="H27" s="1">
        <v>65</v>
      </c>
      <c r="I27" s="1">
        <v>31</v>
      </c>
      <c r="J27" s="2">
        <v>0</v>
      </c>
      <c r="K27" t="s">
        <v>647</v>
      </c>
      <c r="L27" t="s">
        <v>649</v>
      </c>
      <c r="M27" t="s">
        <v>664</v>
      </c>
    </row>
    <row r="28" spans="1:13" x14ac:dyDescent="0.3">
      <c r="A28" t="s">
        <v>39</v>
      </c>
      <c r="B28" s="4">
        <v>45852</v>
      </c>
      <c r="C28" t="s">
        <v>578</v>
      </c>
      <c r="D28" t="s">
        <v>603</v>
      </c>
      <c r="E28" t="s">
        <v>629</v>
      </c>
      <c r="F28" t="s">
        <v>640</v>
      </c>
      <c r="G28">
        <v>2</v>
      </c>
      <c r="H28" s="1">
        <v>92</v>
      </c>
      <c r="I28" s="1">
        <v>53</v>
      </c>
      <c r="J28" s="2">
        <v>0.05</v>
      </c>
      <c r="K28" t="s">
        <v>646</v>
      </c>
      <c r="L28" t="s">
        <v>651</v>
      </c>
      <c r="M28" t="s">
        <v>671</v>
      </c>
    </row>
    <row r="29" spans="1:13" x14ac:dyDescent="0.3">
      <c r="A29" t="s">
        <v>40</v>
      </c>
      <c r="B29" s="4">
        <v>45845</v>
      </c>
      <c r="C29" t="s">
        <v>572</v>
      </c>
      <c r="D29" t="s">
        <v>616</v>
      </c>
      <c r="E29" t="s">
        <v>634</v>
      </c>
      <c r="F29" t="s">
        <v>641</v>
      </c>
      <c r="G29">
        <v>5</v>
      </c>
      <c r="H29" s="1">
        <v>59</v>
      </c>
      <c r="I29" s="1">
        <v>30</v>
      </c>
      <c r="J29" s="2">
        <v>0.2</v>
      </c>
      <c r="K29" t="s">
        <v>643</v>
      </c>
      <c r="L29" t="s">
        <v>648</v>
      </c>
      <c r="M29" t="s">
        <v>665</v>
      </c>
    </row>
    <row r="30" spans="1:13" x14ac:dyDescent="0.3">
      <c r="A30" t="s">
        <v>41</v>
      </c>
      <c r="B30" s="4">
        <v>45706</v>
      </c>
      <c r="C30" t="s">
        <v>579</v>
      </c>
      <c r="D30" t="s">
        <v>617</v>
      </c>
      <c r="E30" t="s">
        <v>628</v>
      </c>
      <c r="F30" t="s">
        <v>639</v>
      </c>
      <c r="G30">
        <v>4</v>
      </c>
      <c r="H30" s="1">
        <v>18</v>
      </c>
      <c r="I30" s="1">
        <v>7</v>
      </c>
      <c r="J30" s="2">
        <v>0.1</v>
      </c>
      <c r="K30" t="s">
        <v>646</v>
      </c>
      <c r="L30" t="s">
        <v>648</v>
      </c>
      <c r="M30" t="s">
        <v>665</v>
      </c>
    </row>
    <row r="31" spans="1:13" x14ac:dyDescent="0.3">
      <c r="A31" t="s">
        <v>42</v>
      </c>
      <c r="B31" s="4">
        <v>45674</v>
      </c>
      <c r="C31" t="s">
        <v>580</v>
      </c>
      <c r="D31" t="s">
        <v>618</v>
      </c>
      <c r="E31" t="s">
        <v>631</v>
      </c>
      <c r="F31" t="s">
        <v>641</v>
      </c>
      <c r="G31">
        <v>5</v>
      </c>
      <c r="H31" s="1">
        <v>85</v>
      </c>
      <c r="I31" s="1">
        <v>44</v>
      </c>
      <c r="J31" s="2">
        <v>0.2</v>
      </c>
      <c r="K31" t="s">
        <v>647</v>
      </c>
      <c r="L31" t="s">
        <v>648</v>
      </c>
      <c r="M31" t="s">
        <v>672</v>
      </c>
    </row>
    <row r="32" spans="1:13" x14ac:dyDescent="0.3">
      <c r="A32" t="s">
        <v>43</v>
      </c>
      <c r="B32" s="4">
        <v>45778</v>
      </c>
      <c r="C32" t="s">
        <v>581</v>
      </c>
      <c r="D32" t="s">
        <v>613</v>
      </c>
      <c r="E32" t="s">
        <v>626</v>
      </c>
      <c r="F32" t="s">
        <v>638</v>
      </c>
      <c r="G32">
        <v>1</v>
      </c>
      <c r="H32" s="1">
        <v>36</v>
      </c>
      <c r="I32" s="1">
        <v>16</v>
      </c>
      <c r="J32" s="2">
        <v>0.1</v>
      </c>
      <c r="K32" t="s">
        <v>642</v>
      </c>
      <c r="L32" t="s">
        <v>648</v>
      </c>
      <c r="M32" t="s">
        <v>663</v>
      </c>
    </row>
    <row r="33" spans="1:13" x14ac:dyDescent="0.3">
      <c r="A33" t="s">
        <v>44</v>
      </c>
      <c r="B33" s="4">
        <v>45811</v>
      </c>
      <c r="C33" t="s">
        <v>580</v>
      </c>
      <c r="D33" t="s">
        <v>611</v>
      </c>
      <c r="E33" t="s">
        <v>633</v>
      </c>
      <c r="F33" t="s">
        <v>638</v>
      </c>
      <c r="G33">
        <v>4</v>
      </c>
      <c r="H33" s="1">
        <v>210</v>
      </c>
      <c r="I33" s="1">
        <v>125</v>
      </c>
      <c r="J33" s="2">
        <v>0.05</v>
      </c>
      <c r="K33" t="s">
        <v>642</v>
      </c>
      <c r="L33" t="s">
        <v>648</v>
      </c>
      <c r="M33" t="s">
        <v>672</v>
      </c>
    </row>
    <row r="34" spans="1:13" x14ac:dyDescent="0.3">
      <c r="A34" t="s">
        <v>45</v>
      </c>
      <c r="B34" s="4">
        <v>45747</v>
      </c>
      <c r="C34" t="s">
        <v>578</v>
      </c>
      <c r="D34" t="s">
        <v>614</v>
      </c>
      <c r="E34" t="s">
        <v>636</v>
      </c>
      <c r="F34" t="s">
        <v>641</v>
      </c>
      <c r="G34">
        <v>3</v>
      </c>
      <c r="H34" s="1">
        <v>245</v>
      </c>
      <c r="I34" s="1">
        <v>150</v>
      </c>
      <c r="J34" s="2">
        <v>0.1</v>
      </c>
      <c r="K34" t="s">
        <v>645</v>
      </c>
      <c r="L34" t="s">
        <v>650</v>
      </c>
      <c r="M34" t="s">
        <v>671</v>
      </c>
    </row>
    <row r="35" spans="1:13" x14ac:dyDescent="0.3">
      <c r="A35" t="s">
        <v>46</v>
      </c>
      <c r="B35" s="4">
        <v>45967</v>
      </c>
      <c r="C35" t="s">
        <v>582</v>
      </c>
      <c r="D35" t="s">
        <v>611</v>
      </c>
      <c r="E35" t="s">
        <v>631</v>
      </c>
      <c r="F35" t="s">
        <v>641</v>
      </c>
      <c r="G35">
        <v>4</v>
      </c>
      <c r="H35" s="1">
        <v>85</v>
      </c>
      <c r="I35" s="1">
        <v>44</v>
      </c>
      <c r="J35" s="2">
        <v>0.05</v>
      </c>
      <c r="K35" t="s">
        <v>643</v>
      </c>
      <c r="L35" t="s">
        <v>649</v>
      </c>
      <c r="M35" t="s">
        <v>658</v>
      </c>
    </row>
    <row r="36" spans="1:13" x14ac:dyDescent="0.3">
      <c r="A36" t="s">
        <v>47</v>
      </c>
      <c r="B36" s="4">
        <v>45938</v>
      </c>
      <c r="C36" t="s">
        <v>583</v>
      </c>
      <c r="D36" t="s">
        <v>608</v>
      </c>
      <c r="E36" t="s">
        <v>628</v>
      </c>
      <c r="F36" t="s">
        <v>639</v>
      </c>
      <c r="G36">
        <v>3</v>
      </c>
      <c r="H36" s="1">
        <v>18</v>
      </c>
      <c r="I36" s="1">
        <v>7</v>
      </c>
      <c r="J36" s="2">
        <v>0</v>
      </c>
      <c r="K36" t="s">
        <v>644</v>
      </c>
      <c r="L36" t="s">
        <v>650</v>
      </c>
      <c r="M36" t="s">
        <v>673</v>
      </c>
    </row>
    <row r="37" spans="1:13" x14ac:dyDescent="0.3">
      <c r="A37" t="s">
        <v>48</v>
      </c>
      <c r="B37" s="4">
        <v>45772</v>
      </c>
      <c r="C37" t="s">
        <v>569</v>
      </c>
      <c r="D37" t="s">
        <v>619</v>
      </c>
      <c r="E37" t="s">
        <v>633</v>
      </c>
      <c r="F37" t="s">
        <v>638</v>
      </c>
      <c r="G37">
        <v>2</v>
      </c>
      <c r="H37" s="1">
        <v>210</v>
      </c>
      <c r="I37" s="1">
        <v>125</v>
      </c>
      <c r="J37" s="2">
        <v>0.15</v>
      </c>
      <c r="K37" t="s">
        <v>644</v>
      </c>
      <c r="L37" t="s">
        <v>651</v>
      </c>
      <c r="M37" t="s">
        <v>662</v>
      </c>
    </row>
    <row r="38" spans="1:13" x14ac:dyDescent="0.3">
      <c r="A38" t="s">
        <v>49</v>
      </c>
      <c r="B38" s="4">
        <v>45983</v>
      </c>
      <c r="C38" t="s">
        <v>584</v>
      </c>
      <c r="D38" t="s">
        <v>613</v>
      </c>
      <c r="E38" t="s">
        <v>636</v>
      </c>
      <c r="F38" t="s">
        <v>641</v>
      </c>
      <c r="G38">
        <v>2</v>
      </c>
      <c r="H38" s="1">
        <v>245</v>
      </c>
      <c r="I38" s="1">
        <v>150</v>
      </c>
      <c r="J38" s="2">
        <v>0.1</v>
      </c>
      <c r="K38" t="s">
        <v>642</v>
      </c>
      <c r="L38" t="s">
        <v>648</v>
      </c>
      <c r="M38" t="s">
        <v>674</v>
      </c>
    </row>
    <row r="39" spans="1:13" x14ac:dyDescent="0.3">
      <c r="A39" t="s">
        <v>50</v>
      </c>
      <c r="B39" s="4">
        <v>45838</v>
      </c>
      <c r="C39" t="s">
        <v>583</v>
      </c>
      <c r="D39" t="s">
        <v>620</v>
      </c>
      <c r="E39" t="s">
        <v>634</v>
      </c>
      <c r="F39" t="s">
        <v>641</v>
      </c>
      <c r="G39">
        <v>3</v>
      </c>
      <c r="H39" s="1">
        <v>59</v>
      </c>
      <c r="I39" s="1">
        <v>30</v>
      </c>
      <c r="J39" s="2">
        <v>0.15</v>
      </c>
      <c r="K39" t="s">
        <v>644</v>
      </c>
      <c r="L39" t="s">
        <v>651</v>
      </c>
      <c r="M39" t="s">
        <v>673</v>
      </c>
    </row>
    <row r="40" spans="1:13" x14ac:dyDescent="0.3">
      <c r="A40" t="s">
        <v>51</v>
      </c>
      <c r="B40" s="4">
        <v>45773</v>
      </c>
      <c r="C40" t="s">
        <v>580</v>
      </c>
      <c r="D40" t="s">
        <v>610</v>
      </c>
      <c r="E40" t="s">
        <v>627</v>
      </c>
      <c r="F40" t="s">
        <v>639</v>
      </c>
      <c r="G40">
        <v>5</v>
      </c>
      <c r="H40" s="1">
        <v>38</v>
      </c>
      <c r="I40" s="1">
        <v>17</v>
      </c>
      <c r="J40" s="2">
        <v>0.15</v>
      </c>
      <c r="K40" t="s">
        <v>644</v>
      </c>
      <c r="L40" t="s">
        <v>648</v>
      </c>
      <c r="M40" t="s">
        <v>672</v>
      </c>
    </row>
    <row r="41" spans="1:13" x14ac:dyDescent="0.3">
      <c r="A41" t="s">
        <v>52</v>
      </c>
      <c r="B41" s="4">
        <v>45696</v>
      </c>
      <c r="C41" t="s">
        <v>583</v>
      </c>
      <c r="D41" t="s">
        <v>603</v>
      </c>
      <c r="E41" t="s">
        <v>636</v>
      </c>
      <c r="F41" t="s">
        <v>641</v>
      </c>
      <c r="G41">
        <v>1</v>
      </c>
      <c r="H41" s="1">
        <v>245</v>
      </c>
      <c r="I41" s="1">
        <v>150</v>
      </c>
      <c r="J41" s="2">
        <v>0.05</v>
      </c>
      <c r="K41" t="s">
        <v>645</v>
      </c>
      <c r="L41" t="s">
        <v>650</v>
      </c>
      <c r="M41" t="s">
        <v>673</v>
      </c>
    </row>
    <row r="42" spans="1:13" x14ac:dyDescent="0.3">
      <c r="A42" t="s">
        <v>53</v>
      </c>
      <c r="B42" s="4">
        <v>45998</v>
      </c>
      <c r="C42" t="s">
        <v>564</v>
      </c>
      <c r="D42" t="s">
        <v>608</v>
      </c>
      <c r="E42" t="s">
        <v>631</v>
      </c>
      <c r="F42" t="s">
        <v>641</v>
      </c>
      <c r="G42">
        <v>4</v>
      </c>
      <c r="H42" s="1">
        <v>85</v>
      </c>
      <c r="I42" s="1">
        <v>44</v>
      </c>
      <c r="J42" s="2">
        <v>0</v>
      </c>
      <c r="K42" t="s">
        <v>642</v>
      </c>
      <c r="L42" t="s">
        <v>650</v>
      </c>
      <c r="M42" t="s">
        <v>657</v>
      </c>
    </row>
    <row r="43" spans="1:13" x14ac:dyDescent="0.3">
      <c r="A43" t="s">
        <v>54</v>
      </c>
      <c r="B43" s="4">
        <v>45973</v>
      </c>
      <c r="C43" t="s">
        <v>584</v>
      </c>
      <c r="D43" t="s">
        <v>613</v>
      </c>
      <c r="E43" t="s">
        <v>635</v>
      </c>
      <c r="F43" t="s">
        <v>639</v>
      </c>
      <c r="G43">
        <v>5</v>
      </c>
      <c r="H43" s="1">
        <v>65</v>
      </c>
      <c r="I43" s="1">
        <v>31</v>
      </c>
      <c r="J43" s="2">
        <v>0.15</v>
      </c>
      <c r="K43" t="s">
        <v>642</v>
      </c>
      <c r="L43" t="s">
        <v>650</v>
      </c>
      <c r="M43" t="s">
        <v>675</v>
      </c>
    </row>
    <row r="44" spans="1:13" x14ac:dyDescent="0.3">
      <c r="A44" t="s">
        <v>55</v>
      </c>
      <c r="B44" s="4">
        <v>45839</v>
      </c>
      <c r="C44" t="s">
        <v>572</v>
      </c>
      <c r="D44" t="s">
        <v>613</v>
      </c>
      <c r="E44" t="s">
        <v>637</v>
      </c>
      <c r="F44" t="s">
        <v>641</v>
      </c>
      <c r="G44">
        <v>2</v>
      </c>
      <c r="H44" s="1">
        <v>175</v>
      </c>
      <c r="I44" s="1">
        <v>105</v>
      </c>
      <c r="J44" s="2">
        <v>0.15</v>
      </c>
      <c r="K44" t="s">
        <v>646</v>
      </c>
      <c r="L44" t="s">
        <v>649</v>
      </c>
      <c r="M44" t="s">
        <v>665</v>
      </c>
    </row>
    <row r="45" spans="1:13" x14ac:dyDescent="0.3">
      <c r="A45" t="s">
        <v>56</v>
      </c>
      <c r="B45" s="4">
        <v>45696</v>
      </c>
      <c r="C45" t="s">
        <v>580</v>
      </c>
      <c r="D45" t="s">
        <v>618</v>
      </c>
      <c r="E45" t="s">
        <v>630</v>
      </c>
      <c r="F45" t="s">
        <v>640</v>
      </c>
      <c r="G45">
        <v>2</v>
      </c>
      <c r="H45" s="1">
        <v>78</v>
      </c>
      <c r="I45" s="1">
        <v>45</v>
      </c>
      <c r="J45" s="2">
        <v>0.2</v>
      </c>
      <c r="K45" t="s">
        <v>643</v>
      </c>
      <c r="L45" t="s">
        <v>650</v>
      </c>
      <c r="M45" t="s">
        <v>672</v>
      </c>
    </row>
    <row r="46" spans="1:13" x14ac:dyDescent="0.3">
      <c r="A46" t="s">
        <v>57</v>
      </c>
      <c r="B46" s="4">
        <v>45789</v>
      </c>
      <c r="C46" t="s">
        <v>577</v>
      </c>
      <c r="D46" t="s">
        <v>607</v>
      </c>
      <c r="E46" t="s">
        <v>634</v>
      </c>
      <c r="F46" t="s">
        <v>641</v>
      </c>
      <c r="G46">
        <v>1</v>
      </c>
      <c r="H46" s="1">
        <v>59</v>
      </c>
      <c r="I46" s="1">
        <v>30</v>
      </c>
      <c r="J46" s="2">
        <v>0</v>
      </c>
      <c r="K46" t="s">
        <v>645</v>
      </c>
      <c r="L46" t="s">
        <v>649</v>
      </c>
      <c r="M46" t="s">
        <v>670</v>
      </c>
    </row>
    <row r="47" spans="1:13" x14ac:dyDescent="0.3">
      <c r="A47" t="s">
        <v>58</v>
      </c>
      <c r="B47" s="4">
        <v>45930</v>
      </c>
      <c r="C47" t="s">
        <v>569</v>
      </c>
      <c r="D47" t="s">
        <v>618</v>
      </c>
      <c r="E47" t="s">
        <v>636</v>
      </c>
      <c r="F47" t="s">
        <v>641</v>
      </c>
      <c r="G47">
        <v>2</v>
      </c>
      <c r="H47" s="1">
        <v>245</v>
      </c>
      <c r="I47" s="1">
        <v>150</v>
      </c>
      <c r="J47" s="2">
        <v>0</v>
      </c>
      <c r="K47" t="s">
        <v>647</v>
      </c>
      <c r="L47" t="s">
        <v>648</v>
      </c>
      <c r="M47" t="s">
        <v>662</v>
      </c>
    </row>
    <row r="48" spans="1:13" x14ac:dyDescent="0.3">
      <c r="A48" t="s">
        <v>59</v>
      </c>
      <c r="B48" s="4">
        <v>45926</v>
      </c>
      <c r="C48" t="s">
        <v>571</v>
      </c>
      <c r="D48" t="s">
        <v>621</v>
      </c>
      <c r="E48" t="s">
        <v>630</v>
      </c>
      <c r="F48" t="s">
        <v>640</v>
      </c>
      <c r="G48">
        <v>5</v>
      </c>
      <c r="H48" s="1">
        <v>78</v>
      </c>
      <c r="I48" s="1">
        <v>45</v>
      </c>
      <c r="J48" s="2">
        <v>0.05</v>
      </c>
      <c r="K48" t="s">
        <v>645</v>
      </c>
      <c r="L48" t="s">
        <v>648</v>
      </c>
      <c r="M48" t="s">
        <v>676</v>
      </c>
    </row>
    <row r="49" spans="1:13" x14ac:dyDescent="0.3">
      <c r="A49" t="s">
        <v>60</v>
      </c>
      <c r="B49" s="4">
        <v>45945</v>
      </c>
      <c r="C49" t="s">
        <v>565</v>
      </c>
      <c r="D49" t="s">
        <v>612</v>
      </c>
      <c r="E49" t="s">
        <v>630</v>
      </c>
      <c r="F49" t="s">
        <v>640</v>
      </c>
      <c r="G49">
        <v>3</v>
      </c>
      <c r="H49" s="1">
        <v>78</v>
      </c>
      <c r="I49" s="1">
        <v>45</v>
      </c>
      <c r="J49" s="2">
        <v>0.1</v>
      </c>
      <c r="K49" t="s">
        <v>643</v>
      </c>
      <c r="L49" t="s">
        <v>648</v>
      </c>
      <c r="M49" t="s">
        <v>658</v>
      </c>
    </row>
    <row r="50" spans="1:13" x14ac:dyDescent="0.3">
      <c r="A50" t="s">
        <v>61</v>
      </c>
      <c r="B50" s="4">
        <v>45841</v>
      </c>
      <c r="C50" t="s">
        <v>573</v>
      </c>
      <c r="D50" t="s">
        <v>602</v>
      </c>
      <c r="E50" t="s">
        <v>629</v>
      </c>
      <c r="F50" t="s">
        <v>640</v>
      </c>
      <c r="G50">
        <v>4</v>
      </c>
      <c r="H50" s="1">
        <v>92</v>
      </c>
      <c r="I50" s="1">
        <v>53</v>
      </c>
      <c r="J50" s="2">
        <v>0.2</v>
      </c>
      <c r="K50" t="s">
        <v>646</v>
      </c>
      <c r="L50" t="s">
        <v>648</v>
      </c>
      <c r="M50" t="s">
        <v>667</v>
      </c>
    </row>
    <row r="51" spans="1:13" x14ac:dyDescent="0.3">
      <c r="A51" t="s">
        <v>62</v>
      </c>
      <c r="B51" s="4">
        <v>45821</v>
      </c>
      <c r="C51" t="s">
        <v>567</v>
      </c>
      <c r="D51" t="s">
        <v>615</v>
      </c>
      <c r="E51" t="s">
        <v>626</v>
      </c>
      <c r="F51" t="s">
        <v>638</v>
      </c>
      <c r="G51">
        <v>4</v>
      </c>
      <c r="H51" s="1">
        <v>36</v>
      </c>
      <c r="I51" s="1">
        <v>16</v>
      </c>
      <c r="J51" s="2">
        <v>0</v>
      </c>
      <c r="K51" t="s">
        <v>642</v>
      </c>
      <c r="L51" t="s">
        <v>652</v>
      </c>
      <c r="M51" t="s">
        <v>660</v>
      </c>
    </row>
    <row r="52" spans="1:13" x14ac:dyDescent="0.3">
      <c r="A52" t="s">
        <v>63</v>
      </c>
      <c r="B52" s="4">
        <v>45896</v>
      </c>
      <c r="C52" t="s">
        <v>568</v>
      </c>
      <c r="D52" t="s">
        <v>622</v>
      </c>
      <c r="E52" t="s">
        <v>637</v>
      </c>
      <c r="F52" t="s">
        <v>641</v>
      </c>
      <c r="G52">
        <v>2</v>
      </c>
      <c r="H52" s="1">
        <v>175</v>
      </c>
      <c r="I52" s="1">
        <v>105</v>
      </c>
      <c r="J52" s="2">
        <v>0.05</v>
      </c>
      <c r="K52" t="s">
        <v>647</v>
      </c>
      <c r="L52" t="s">
        <v>651</v>
      </c>
      <c r="M52" t="s">
        <v>666</v>
      </c>
    </row>
    <row r="53" spans="1:13" x14ac:dyDescent="0.3">
      <c r="A53" t="s">
        <v>64</v>
      </c>
      <c r="B53" s="4">
        <v>45691</v>
      </c>
      <c r="C53" t="s">
        <v>569</v>
      </c>
      <c r="D53" t="s">
        <v>606</v>
      </c>
      <c r="E53" t="s">
        <v>634</v>
      </c>
      <c r="F53" t="s">
        <v>641</v>
      </c>
      <c r="G53">
        <v>2</v>
      </c>
      <c r="H53" s="1">
        <v>59</v>
      </c>
      <c r="I53" s="1">
        <v>30</v>
      </c>
      <c r="J53" s="2">
        <v>0.05</v>
      </c>
      <c r="K53" t="s">
        <v>643</v>
      </c>
      <c r="L53" t="s">
        <v>648</v>
      </c>
      <c r="M53" t="s">
        <v>662</v>
      </c>
    </row>
    <row r="54" spans="1:13" x14ac:dyDescent="0.3">
      <c r="A54" t="s">
        <v>65</v>
      </c>
      <c r="B54" s="4">
        <v>45885</v>
      </c>
      <c r="C54" t="s">
        <v>563</v>
      </c>
      <c r="D54" t="s">
        <v>607</v>
      </c>
      <c r="E54" t="s">
        <v>626</v>
      </c>
      <c r="F54" t="s">
        <v>638</v>
      </c>
      <c r="G54">
        <v>2</v>
      </c>
      <c r="H54" s="1">
        <v>36</v>
      </c>
      <c r="I54" s="1">
        <v>16</v>
      </c>
      <c r="J54" s="2">
        <v>0.1</v>
      </c>
      <c r="K54" t="s">
        <v>646</v>
      </c>
      <c r="L54" t="s">
        <v>649</v>
      </c>
      <c r="M54" t="s">
        <v>656</v>
      </c>
    </row>
    <row r="55" spans="1:13" x14ac:dyDescent="0.3">
      <c r="A55" t="s">
        <v>66</v>
      </c>
      <c r="B55" s="4">
        <v>45919</v>
      </c>
      <c r="C55" t="s">
        <v>584</v>
      </c>
      <c r="D55" t="s">
        <v>619</v>
      </c>
      <c r="E55" t="s">
        <v>632</v>
      </c>
      <c r="F55" t="s">
        <v>639</v>
      </c>
      <c r="G55">
        <v>2</v>
      </c>
      <c r="H55" s="1">
        <v>42</v>
      </c>
      <c r="I55" s="1">
        <v>21</v>
      </c>
      <c r="J55" s="2">
        <v>0.05</v>
      </c>
      <c r="K55" t="s">
        <v>646</v>
      </c>
      <c r="L55" t="s">
        <v>648</v>
      </c>
      <c r="M55" t="s">
        <v>675</v>
      </c>
    </row>
    <row r="56" spans="1:13" x14ac:dyDescent="0.3">
      <c r="A56" t="s">
        <v>67</v>
      </c>
      <c r="B56" s="4">
        <v>45688</v>
      </c>
      <c r="C56" t="s">
        <v>578</v>
      </c>
      <c r="D56" t="s">
        <v>608</v>
      </c>
      <c r="E56" t="s">
        <v>634</v>
      </c>
      <c r="F56" t="s">
        <v>641</v>
      </c>
      <c r="G56">
        <v>2</v>
      </c>
      <c r="H56" s="1">
        <v>59</v>
      </c>
      <c r="I56" s="1">
        <v>30</v>
      </c>
      <c r="J56" s="2">
        <v>0.15</v>
      </c>
      <c r="K56" t="s">
        <v>647</v>
      </c>
      <c r="L56" t="s">
        <v>651</v>
      </c>
      <c r="M56" t="s">
        <v>671</v>
      </c>
    </row>
    <row r="57" spans="1:13" x14ac:dyDescent="0.3">
      <c r="A57" t="s">
        <v>68</v>
      </c>
      <c r="B57" s="4">
        <v>45700</v>
      </c>
      <c r="C57" t="s">
        <v>566</v>
      </c>
      <c r="D57" t="s">
        <v>609</v>
      </c>
      <c r="E57" t="s">
        <v>631</v>
      </c>
      <c r="F57" t="s">
        <v>641</v>
      </c>
      <c r="G57">
        <v>5</v>
      </c>
      <c r="H57" s="1">
        <v>85</v>
      </c>
      <c r="I57" s="1">
        <v>44</v>
      </c>
      <c r="J57" s="2">
        <v>0.15</v>
      </c>
      <c r="K57" t="s">
        <v>646</v>
      </c>
      <c r="L57" t="s">
        <v>649</v>
      </c>
      <c r="M57" t="s">
        <v>659</v>
      </c>
    </row>
    <row r="58" spans="1:13" x14ac:dyDescent="0.3">
      <c r="A58" t="s">
        <v>69</v>
      </c>
      <c r="B58" s="4">
        <v>45735</v>
      </c>
      <c r="C58" t="s">
        <v>568</v>
      </c>
      <c r="D58" t="s">
        <v>608</v>
      </c>
      <c r="E58" t="s">
        <v>627</v>
      </c>
      <c r="F58" t="s">
        <v>639</v>
      </c>
      <c r="G58">
        <v>4</v>
      </c>
      <c r="H58" s="1">
        <v>38</v>
      </c>
      <c r="I58" s="1">
        <v>17</v>
      </c>
      <c r="J58" s="2">
        <v>0.05</v>
      </c>
      <c r="K58" t="s">
        <v>647</v>
      </c>
      <c r="L58" t="s">
        <v>648</v>
      </c>
      <c r="M58" t="s">
        <v>666</v>
      </c>
    </row>
    <row r="59" spans="1:13" x14ac:dyDescent="0.3">
      <c r="A59" t="s">
        <v>70</v>
      </c>
      <c r="B59" s="4">
        <v>45903</v>
      </c>
      <c r="C59" t="s">
        <v>578</v>
      </c>
      <c r="D59" t="s">
        <v>617</v>
      </c>
      <c r="E59" t="s">
        <v>626</v>
      </c>
      <c r="F59" t="s">
        <v>638</v>
      </c>
      <c r="G59">
        <v>3</v>
      </c>
      <c r="H59" s="1">
        <v>36</v>
      </c>
      <c r="I59" s="1">
        <v>16</v>
      </c>
      <c r="J59" s="2">
        <v>0.05</v>
      </c>
      <c r="K59" t="s">
        <v>644</v>
      </c>
      <c r="L59" t="s">
        <v>648</v>
      </c>
      <c r="M59" t="s">
        <v>671</v>
      </c>
    </row>
    <row r="60" spans="1:13" x14ac:dyDescent="0.3">
      <c r="A60" t="s">
        <v>71</v>
      </c>
      <c r="B60" s="4">
        <v>45826</v>
      </c>
      <c r="C60" t="s">
        <v>585</v>
      </c>
      <c r="D60" t="s">
        <v>601</v>
      </c>
      <c r="E60" t="s">
        <v>637</v>
      </c>
      <c r="F60" t="s">
        <v>641</v>
      </c>
      <c r="G60">
        <v>5</v>
      </c>
      <c r="H60" s="1">
        <v>175</v>
      </c>
      <c r="I60" s="1">
        <v>105</v>
      </c>
      <c r="J60" s="2">
        <v>0.15</v>
      </c>
      <c r="K60" t="s">
        <v>647</v>
      </c>
      <c r="L60" t="s">
        <v>650</v>
      </c>
      <c r="M60" t="s">
        <v>672</v>
      </c>
    </row>
    <row r="61" spans="1:13" x14ac:dyDescent="0.3">
      <c r="A61" t="s">
        <v>72</v>
      </c>
      <c r="B61" s="4">
        <v>45861</v>
      </c>
      <c r="C61" t="s">
        <v>568</v>
      </c>
      <c r="D61" t="s">
        <v>600</v>
      </c>
      <c r="E61" t="s">
        <v>634</v>
      </c>
      <c r="F61" t="s">
        <v>641</v>
      </c>
      <c r="G61">
        <v>3</v>
      </c>
      <c r="H61" s="1">
        <v>59</v>
      </c>
      <c r="I61" s="1">
        <v>30</v>
      </c>
      <c r="J61" s="2">
        <v>0.15</v>
      </c>
      <c r="K61" t="s">
        <v>647</v>
      </c>
      <c r="L61" t="s">
        <v>650</v>
      </c>
      <c r="M61" t="s">
        <v>666</v>
      </c>
    </row>
    <row r="62" spans="1:13" x14ac:dyDescent="0.3">
      <c r="A62" t="s">
        <v>73</v>
      </c>
      <c r="B62" s="4">
        <v>45685</v>
      </c>
      <c r="C62" t="s">
        <v>575</v>
      </c>
      <c r="E62" t="s">
        <v>633</v>
      </c>
      <c r="F62" t="s">
        <v>638</v>
      </c>
      <c r="G62">
        <v>2</v>
      </c>
      <c r="H62" s="1">
        <v>210</v>
      </c>
      <c r="I62" s="1">
        <v>125</v>
      </c>
      <c r="J62" s="2">
        <v>0.05</v>
      </c>
      <c r="K62" t="s">
        <v>646</v>
      </c>
      <c r="L62" t="s">
        <v>648</v>
      </c>
      <c r="M62" t="s">
        <v>668</v>
      </c>
    </row>
    <row r="63" spans="1:13" x14ac:dyDescent="0.3">
      <c r="A63" t="s">
        <v>74</v>
      </c>
      <c r="B63" s="4">
        <v>45716</v>
      </c>
      <c r="C63" t="s">
        <v>586</v>
      </c>
      <c r="D63" t="s">
        <v>600</v>
      </c>
      <c r="E63" t="s">
        <v>628</v>
      </c>
      <c r="F63" t="s">
        <v>639</v>
      </c>
      <c r="G63">
        <v>2</v>
      </c>
      <c r="H63" s="1">
        <v>18</v>
      </c>
      <c r="I63" s="1">
        <v>7</v>
      </c>
      <c r="J63" s="2">
        <v>0.05</v>
      </c>
      <c r="K63" t="s">
        <v>646</v>
      </c>
      <c r="L63" t="s">
        <v>648</v>
      </c>
      <c r="M63" t="s">
        <v>671</v>
      </c>
    </row>
    <row r="64" spans="1:13" x14ac:dyDescent="0.3">
      <c r="A64" t="s">
        <v>75</v>
      </c>
      <c r="B64" s="4">
        <v>45789</v>
      </c>
      <c r="C64" t="s">
        <v>567</v>
      </c>
      <c r="D64" t="s">
        <v>600</v>
      </c>
      <c r="E64" t="s">
        <v>631</v>
      </c>
      <c r="F64" t="s">
        <v>641</v>
      </c>
      <c r="G64">
        <v>1</v>
      </c>
      <c r="H64" s="1">
        <v>85</v>
      </c>
      <c r="I64" s="1">
        <v>44</v>
      </c>
      <c r="J64" s="2">
        <v>0.05</v>
      </c>
      <c r="K64" t="s">
        <v>643</v>
      </c>
      <c r="L64" t="s">
        <v>648</v>
      </c>
      <c r="M64" t="s">
        <v>660</v>
      </c>
    </row>
    <row r="65" spans="1:13" x14ac:dyDescent="0.3">
      <c r="A65" t="s">
        <v>76</v>
      </c>
      <c r="B65" s="4">
        <v>45729</v>
      </c>
      <c r="C65" t="s">
        <v>572</v>
      </c>
      <c r="D65" t="s">
        <v>620</v>
      </c>
      <c r="E65" t="s">
        <v>636</v>
      </c>
      <c r="F65" t="s">
        <v>641</v>
      </c>
      <c r="G65">
        <v>4</v>
      </c>
      <c r="H65" s="1">
        <v>245</v>
      </c>
      <c r="I65" s="1">
        <v>150</v>
      </c>
      <c r="J65" s="2">
        <v>0.1</v>
      </c>
      <c r="K65" t="s">
        <v>642</v>
      </c>
      <c r="L65" t="s">
        <v>648</v>
      </c>
      <c r="M65" t="s">
        <v>665</v>
      </c>
    </row>
    <row r="66" spans="1:13" x14ac:dyDescent="0.3">
      <c r="A66" t="s">
        <v>77</v>
      </c>
      <c r="B66" s="4">
        <v>45741</v>
      </c>
      <c r="C66" t="s">
        <v>566</v>
      </c>
      <c r="D66" t="s">
        <v>616</v>
      </c>
      <c r="E66" t="s">
        <v>629</v>
      </c>
      <c r="F66" t="s">
        <v>640</v>
      </c>
      <c r="G66">
        <v>4</v>
      </c>
      <c r="H66" s="1">
        <v>92</v>
      </c>
      <c r="I66" s="1">
        <v>53</v>
      </c>
      <c r="J66" s="2">
        <v>0.15</v>
      </c>
      <c r="K66" t="s">
        <v>645</v>
      </c>
      <c r="L66" t="s">
        <v>649</v>
      </c>
      <c r="M66" t="s">
        <v>659</v>
      </c>
    </row>
    <row r="67" spans="1:13" x14ac:dyDescent="0.3">
      <c r="A67" t="s">
        <v>78</v>
      </c>
      <c r="B67" s="4">
        <v>45715</v>
      </c>
      <c r="C67" t="s">
        <v>580</v>
      </c>
      <c r="D67" t="s">
        <v>615</v>
      </c>
      <c r="E67" t="s">
        <v>634</v>
      </c>
      <c r="F67" t="s">
        <v>641</v>
      </c>
      <c r="G67">
        <v>4</v>
      </c>
      <c r="H67" s="1">
        <v>59</v>
      </c>
      <c r="I67" s="1">
        <v>30</v>
      </c>
      <c r="J67" s="2">
        <v>0.1</v>
      </c>
      <c r="K67" t="s">
        <v>646</v>
      </c>
      <c r="L67" t="s">
        <v>650</v>
      </c>
      <c r="M67" t="s">
        <v>672</v>
      </c>
    </row>
    <row r="68" spans="1:13" x14ac:dyDescent="0.3">
      <c r="A68" t="s">
        <v>79</v>
      </c>
      <c r="B68" s="4">
        <v>45741</v>
      </c>
      <c r="C68" t="s">
        <v>580</v>
      </c>
      <c r="D68" t="s">
        <v>611</v>
      </c>
      <c r="E68" t="s">
        <v>637</v>
      </c>
      <c r="F68" t="s">
        <v>641</v>
      </c>
      <c r="G68">
        <v>3</v>
      </c>
      <c r="H68" s="1">
        <v>175</v>
      </c>
      <c r="I68" s="1">
        <v>105</v>
      </c>
      <c r="J68" s="2">
        <v>0</v>
      </c>
      <c r="K68" t="s">
        <v>642</v>
      </c>
      <c r="L68" t="s">
        <v>648</v>
      </c>
      <c r="M68" t="s">
        <v>672</v>
      </c>
    </row>
    <row r="69" spans="1:13" x14ac:dyDescent="0.3">
      <c r="A69" t="s">
        <v>80</v>
      </c>
      <c r="B69" s="4">
        <v>45991</v>
      </c>
      <c r="C69" t="s">
        <v>573</v>
      </c>
      <c r="D69" t="s">
        <v>602</v>
      </c>
      <c r="E69" t="s">
        <v>636</v>
      </c>
      <c r="F69" t="s">
        <v>641</v>
      </c>
      <c r="G69">
        <v>1</v>
      </c>
      <c r="H69" s="1">
        <v>245</v>
      </c>
      <c r="I69" s="1">
        <v>150</v>
      </c>
      <c r="J69" s="2">
        <v>0.1</v>
      </c>
      <c r="K69" t="s">
        <v>647</v>
      </c>
      <c r="L69" t="s">
        <v>649</v>
      </c>
      <c r="M69" t="s">
        <v>667</v>
      </c>
    </row>
    <row r="70" spans="1:13" x14ac:dyDescent="0.3">
      <c r="A70" t="s">
        <v>81</v>
      </c>
      <c r="B70" s="4">
        <v>45725</v>
      </c>
      <c r="C70" t="s">
        <v>587</v>
      </c>
      <c r="D70" t="s">
        <v>599</v>
      </c>
      <c r="E70" t="s">
        <v>632</v>
      </c>
      <c r="F70" t="s">
        <v>639</v>
      </c>
      <c r="G70">
        <v>5</v>
      </c>
      <c r="H70" s="1">
        <v>42</v>
      </c>
      <c r="I70" s="1">
        <v>21</v>
      </c>
      <c r="J70" s="2">
        <v>0</v>
      </c>
      <c r="K70" t="s">
        <v>643</v>
      </c>
      <c r="L70" t="s">
        <v>649</v>
      </c>
    </row>
    <row r="71" spans="1:13" x14ac:dyDescent="0.3">
      <c r="A71" t="s">
        <v>82</v>
      </c>
      <c r="B71" s="4">
        <v>45925</v>
      </c>
      <c r="C71" t="s">
        <v>576</v>
      </c>
      <c r="D71" t="s">
        <v>621</v>
      </c>
      <c r="E71" t="s">
        <v>637</v>
      </c>
      <c r="F71" t="s">
        <v>641</v>
      </c>
      <c r="G71">
        <v>5</v>
      </c>
      <c r="H71" s="1">
        <v>175</v>
      </c>
      <c r="I71" s="1">
        <v>105</v>
      </c>
      <c r="J71" s="2">
        <v>0.05</v>
      </c>
      <c r="K71" t="s">
        <v>645</v>
      </c>
      <c r="L71" t="s">
        <v>649</v>
      </c>
      <c r="M71" t="s">
        <v>669</v>
      </c>
    </row>
    <row r="72" spans="1:13" x14ac:dyDescent="0.3">
      <c r="A72" t="s">
        <v>83</v>
      </c>
      <c r="B72" s="4">
        <v>45863</v>
      </c>
      <c r="C72" t="s">
        <v>588</v>
      </c>
      <c r="D72" t="s">
        <v>600</v>
      </c>
      <c r="E72" t="s">
        <v>627</v>
      </c>
      <c r="F72" t="s">
        <v>639</v>
      </c>
      <c r="G72">
        <v>2</v>
      </c>
      <c r="H72" s="1">
        <v>38</v>
      </c>
      <c r="I72" s="1">
        <v>17</v>
      </c>
      <c r="J72" s="2">
        <v>0.15</v>
      </c>
      <c r="K72" t="s">
        <v>644</v>
      </c>
      <c r="L72" t="s">
        <v>648</v>
      </c>
      <c r="M72" t="s">
        <v>656</v>
      </c>
    </row>
    <row r="73" spans="1:13" x14ac:dyDescent="0.3">
      <c r="A73" t="s">
        <v>84</v>
      </c>
      <c r="B73" s="4">
        <v>45853</v>
      </c>
      <c r="C73" t="s">
        <v>563</v>
      </c>
      <c r="D73" t="s">
        <v>609</v>
      </c>
      <c r="E73" t="s">
        <v>635</v>
      </c>
      <c r="F73" t="s">
        <v>639</v>
      </c>
      <c r="G73">
        <v>4</v>
      </c>
      <c r="H73" s="1">
        <v>65</v>
      </c>
      <c r="I73" s="1">
        <v>31</v>
      </c>
      <c r="J73" s="2">
        <v>0.1</v>
      </c>
      <c r="K73" t="s">
        <v>646</v>
      </c>
      <c r="L73" t="s">
        <v>651</v>
      </c>
      <c r="M73" t="s">
        <v>656</v>
      </c>
    </row>
    <row r="74" spans="1:13" x14ac:dyDescent="0.3">
      <c r="A74" t="s">
        <v>85</v>
      </c>
      <c r="B74" s="4">
        <v>45860</v>
      </c>
      <c r="C74" t="s">
        <v>564</v>
      </c>
      <c r="D74" t="s">
        <v>612</v>
      </c>
      <c r="E74" t="s">
        <v>628</v>
      </c>
      <c r="F74" t="s">
        <v>639</v>
      </c>
      <c r="G74">
        <v>2</v>
      </c>
      <c r="H74" s="1">
        <v>18</v>
      </c>
      <c r="I74" s="1">
        <v>7</v>
      </c>
      <c r="J74" s="2">
        <v>0</v>
      </c>
      <c r="K74" t="s">
        <v>645</v>
      </c>
      <c r="L74" t="s">
        <v>648</v>
      </c>
      <c r="M74" t="s">
        <v>657</v>
      </c>
    </row>
    <row r="75" spans="1:13" x14ac:dyDescent="0.3">
      <c r="A75" t="s">
        <v>86</v>
      </c>
      <c r="B75" s="4">
        <v>45967</v>
      </c>
      <c r="C75" t="s">
        <v>581</v>
      </c>
      <c r="D75" t="s">
        <v>603</v>
      </c>
      <c r="E75" t="s">
        <v>630</v>
      </c>
      <c r="F75" t="s">
        <v>640</v>
      </c>
      <c r="G75">
        <v>1</v>
      </c>
      <c r="H75" s="1">
        <v>78</v>
      </c>
      <c r="I75" s="1">
        <v>45</v>
      </c>
      <c r="J75" s="2">
        <v>0.05</v>
      </c>
      <c r="K75" t="s">
        <v>647</v>
      </c>
      <c r="L75" t="s">
        <v>648</v>
      </c>
      <c r="M75" t="s">
        <v>663</v>
      </c>
    </row>
    <row r="76" spans="1:13" x14ac:dyDescent="0.3">
      <c r="A76" t="s">
        <v>87</v>
      </c>
      <c r="B76" s="4">
        <v>45787</v>
      </c>
      <c r="C76" t="s">
        <v>582</v>
      </c>
      <c r="D76" t="s">
        <v>602</v>
      </c>
      <c r="E76" t="s">
        <v>635</v>
      </c>
      <c r="F76" t="s">
        <v>639</v>
      </c>
      <c r="G76">
        <v>5</v>
      </c>
      <c r="H76" s="1">
        <v>65</v>
      </c>
      <c r="I76" s="1">
        <v>31</v>
      </c>
      <c r="J76" s="2">
        <v>0</v>
      </c>
      <c r="K76" t="s">
        <v>646</v>
      </c>
      <c r="L76" t="s">
        <v>650</v>
      </c>
      <c r="M76" t="s">
        <v>658</v>
      </c>
    </row>
    <row r="77" spans="1:13" x14ac:dyDescent="0.3">
      <c r="A77" t="s">
        <v>88</v>
      </c>
      <c r="B77" s="4">
        <v>45883</v>
      </c>
      <c r="C77" t="s">
        <v>578</v>
      </c>
      <c r="D77" t="s">
        <v>609</v>
      </c>
      <c r="E77" t="s">
        <v>636</v>
      </c>
      <c r="F77" t="s">
        <v>641</v>
      </c>
      <c r="G77">
        <v>1</v>
      </c>
      <c r="H77" s="1">
        <v>245</v>
      </c>
      <c r="I77" s="1">
        <v>150</v>
      </c>
      <c r="J77" s="2">
        <v>0.05</v>
      </c>
      <c r="K77" t="s">
        <v>642</v>
      </c>
      <c r="L77" t="s">
        <v>650</v>
      </c>
      <c r="M77" t="s">
        <v>671</v>
      </c>
    </row>
    <row r="78" spans="1:13" x14ac:dyDescent="0.3">
      <c r="A78" t="s">
        <v>89</v>
      </c>
      <c r="B78" s="4">
        <v>45950</v>
      </c>
      <c r="C78" t="s">
        <v>566</v>
      </c>
      <c r="D78" t="s">
        <v>600</v>
      </c>
      <c r="E78" t="s">
        <v>631</v>
      </c>
      <c r="F78" t="s">
        <v>641</v>
      </c>
      <c r="G78">
        <v>3</v>
      </c>
      <c r="H78" s="1">
        <v>85</v>
      </c>
      <c r="I78" s="1">
        <v>44</v>
      </c>
      <c r="J78" s="2">
        <v>0</v>
      </c>
      <c r="K78" t="s">
        <v>644</v>
      </c>
      <c r="L78" t="s">
        <v>651</v>
      </c>
      <c r="M78" t="s">
        <v>677</v>
      </c>
    </row>
    <row r="79" spans="1:13" x14ac:dyDescent="0.3">
      <c r="A79" t="s">
        <v>90</v>
      </c>
      <c r="B79" s="4">
        <v>45814</v>
      </c>
      <c r="C79" t="s">
        <v>578</v>
      </c>
      <c r="D79" t="s">
        <v>616</v>
      </c>
      <c r="E79" t="s">
        <v>636</v>
      </c>
      <c r="F79" t="s">
        <v>641</v>
      </c>
      <c r="G79">
        <v>1</v>
      </c>
      <c r="H79" s="1">
        <v>245</v>
      </c>
      <c r="I79" s="1">
        <v>150</v>
      </c>
      <c r="J79" s="2">
        <v>0</v>
      </c>
      <c r="K79" t="s">
        <v>645</v>
      </c>
      <c r="L79" t="s">
        <v>651</v>
      </c>
      <c r="M79" t="s">
        <v>671</v>
      </c>
    </row>
    <row r="80" spans="1:13" x14ac:dyDescent="0.3">
      <c r="A80" t="s">
        <v>91</v>
      </c>
      <c r="B80" s="4">
        <v>45899</v>
      </c>
      <c r="C80" t="s">
        <v>569</v>
      </c>
      <c r="D80" t="s">
        <v>623</v>
      </c>
      <c r="E80" t="s">
        <v>626</v>
      </c>
      <c r="F80" t="s">
        <v>638</v>
      </c>
      <c r="G80">
        <v>4</v>
      </c>
      <c r="H80" s="1">
        <v>36</v>
      </c>
      <c r="I80" s="1">
        <v>16</v>
      </c>
      <c r="J80" s="2">
        <v>0.1</v>
      </c>
      <c r="K80" t="s">
        <v>647</v>
      </c>
      <c r="L80" t="s">
        <v>651</v>
      </c>
      <c r="M80" t="s">
        <v>662</v>
      </c>
    </row>
    <row r="81" spans="1:13" x14ac:dyDescent="0.3">
      <c r="A81" t="s">
        <v>92</v>
      </c>
      <c r="B81" s="4">
        <v>45751</v>
      </c>
      <c r="C81" t="s">
        <v>567</v>
      </c>
      <c r="D81" t="s">
        <v>613</v>
      </c>
      <c r="E81" t="s">
        <v>628</v>
      </c>
      <c r="F81" t="s">
        <v>639</v>
      </c>
      <c r="G81">
        <v>5</v>
      </c>
      <c r="H81" s="1">
        <v>18</v>
      </c>
      <c r="I81" s="1">
        <v>7</v>
      </c>
      <c r="J81" s="2">
        <v>0.1</v>
      </c>
      <c r="K81" t="s">
        <v>642</v>
      </c>
      <c r="L81" t="s">
        <v>653</v>
      </c>
      <c r="M81" t="s">
        <v>660</v>
      </c>
    </row>
    <row r="82" spans="1:13" x14ac:dyDescent="0.3">
      <c r="A82" t="s">
        <v>93</v>
      </c>
      <c r="B82" s="4">
        <v>45803</v>
      </c>
      <c r="C82" t="s">
        <v>563</v>
      </c>
      <c r="D82" t="s">
        <v>604</v>
      </c>
      <c r="E82" t="s">
        <v>632</v>
      </c>
      <c r="F82" t="s">
        <v>639</v>
      </c>
      <c r="G82">
        <v>4</v>
      </c>
      <c r="H82" s="1">
        <v>42</v>
      </c>
      <c r="I82" s="1">
        <v>21</v>
      </c>
      <c r="J82" s="2">
        <v>0.1</v>
      </c>
      <c r="K82" t="s">
        <v>643</v>
      </c>
      <c r="L82" t="s">
        <v>648</v>
      </c>
      <c r="M82" t="s">
        <v>656</v>
      </c>
    </row>
    <row r="83" spans="1:13" x14ac:dyDescent="0.3">
      <c r="A83" t="s">
        <v>94</v>
      </c>
      <c r="B83" s="4">
        <v>45945</v>
      </c>
      <c r="C83" t="s">
        <v>570</v>
      </c>
      <c r="D83" t="s">
        <v>601</v>
      </c>
      <c r="E83" t="s">
        <v>628</v>
      </c>
      <c r="F83" t="s">
        <v>639</v>
      </c>
      <c r="G83">
        <v>4</v>
      </c>
      <c r="H83" s="1">
        <v>18</v>
      </c>
      <c r="I83" s="1">
        <v>7</v>
      </c>
      <c r="J83" s="2">
        <v>0.1</v>
      </c>
      <c r="L83" t="s">
        <v>649</v>
      </c>
      <c r="M83" t="s">
        <v>663</v>
      </c>
    </row>
    <row r="84" spans="1:13" x14ac:dyDescent="0.3">
      <c r="A84" t="s">
        <v>95</v>
      </c>
      <c r="B84" s="4">
        <v>45960</v>
      </c>
      <c r="C84" t="s">
        <v>569</v>
      </c>
      <c r="D84" t="s">
        <v>621</v>
      </c>
      <c r="E84" t="s">
        <v>633</v>
      </c>
      <c r="F84" t="s">
        <v>638</v>
      </c>
      <c r="G84">
        <v>1</v>
      </c>
      <c r="H84" s="1">
        <v>210</v>
      </c>
      <c r="I84" s="1">
        <v>125</v>
      </c>
      <c r="J84" s="2">
        <v>0</v>
      </c>
      <c r="K84" t="s">
        <v>642</v>
      </c>
      <c r="L84" t="s">
        <v>651</v>
      </c>
      <c r="M84" t="s">
        <v>662</v>
      </c>
    </row>
    <row r="85" spans="1:13" x14ac:dyDescent="0.3">
      <c r="A85" t="s">
        <v>96</v>
      </c>
      <c r="B85" s="4">
        <v>45776</v>
      </c>
      <c r="C85" t="s">
        <v>567</v>
      </c>
      <c r="D85" t="s">
        <v>607</v>
      </c>
      <c r="E85" t="s">
        <v>636</v>
      </c>
      <c r="F85" t="s">
        <v>641</v>
      </c>
      <c r="G85">
        <v>3</v>
      </c>
      <c r="H85" s="1">
        <v>245</v>
      </c>
      <c r="I85" s="1">
        <v>150</v>
      </c>
      <c r="J85" s="2">
        <v>0.15</v>
      </c>
      <c r="K85" t="s">
        <v>647</v>
      </c>
      <c r="L85" t="s">
        <v>651</v>
      </c>
      <c r="M85" t="s">
        <v>660</v>
      </c>
    </row>
    <row r="86" spans="1:13" x14ac:dyDescent="0.3">
      <c r="A86" t="s">
        <v>97</v>
      </c>
      <c r="B86" s="4">
        <v>45925</v>
      </c>
      <c r="C86" t="s">
        <v>568</v>
      </c>
      <c r="D86" t="s">
        <v>608</v>
      </c>
      <c r="E86" t="s">
        <v>630</v>
      </c>
      <c r="F86" t="s">
        <v>640</v>
      </c>
      <c r="G86">
        <v>1</v>
      </c>
      <c r="H86" s="1">
        <v>78</v>
      </c>
      <c r="I86" s="1">
        <v>45</v>
      </c>
      <c r="J86" s="2">
        <v>0.1</v>
      </c>
      <c r="K86" t="s">
        <v>646</v>
      </c>
      <c r="L86" t="s">
        <v>649</v>
      </c>
      <c r="M86" t="s">
        <v>666</v>
      </c>
    </row>
    <row r="87" spans="1:13" x14ac:dyDescent="0.3">
      <c r="A87" t="s">
        <v>98</v>
      </c>
      <c r="B87" s="4">
        <v>45753</v>
      </c>
      <c r="C87" t="s">
        <v>567</v>
      </c>
      <c r="D87" t="s">
        <v>620</v>
      </c>
      <c r="E87" t="s">
        <v>626</v>
      </c>
      <c r="F87" t="s">
        <v>638</v>
      </c>
      <c r="G87">
        <v>1</v>
      </c>
      <c r="H87" s="1">
        <v>36</v>
      </c>
      <c r="I87" s="1">
        <v>16</v>
      </c>
      <c r="J87" s="2">
        <v>0.05</v>
      </c>
      <c r="K87" t="s">
        <v>643</v>
      </c>
      <c r="L87" t="s">
        <v>648</v>
      </c>
    </row>
    <row r="88" spans="1:13" x14ac:dyDescent="0.3">
      <c r="A88" t="s">
        <v>99</v>
      </c>
      <c r="B88" s="4">
        <v>45779</v>
      </c>
      <c r="C88" t="s">
        <v>575</v>
      </c>
      <c r="D88" t="s">
        <v>607</v>
      </c>
      <c r="E88" t="s">
        <v>628</v>
      </c>
      <c r="F88" t="s">
        <v>639</v>
      </c>
      <c r="G88">
        <v>5</v>
      </c>
      <c r="H88" s="1">
        <v>18</v>
      </c>
      <c r="I88" s="1">
        <v>7</v>
      </c>
      <c r="J88" s="2">
        <v>0</v>
      </c>
      <c r="K88" t="s">
        <v>643</v>
      </c>
      <c r="L88" t="s">
        <v>648</v>
      </c>
      <c r="M88" t="s">
        <v>668</v>
      </c>
    </row>
    <row r="89" spans="1:13" x14ac:dyDescent="0.3">
      <c r="A89" t="s">
        <v>100</v>
      </c>
      <c r="B89" s="4">
        <v>45934</v>
      </c>
      <c r="C89" t="s">
        <v>569</v>
      </c>
      <c r="D89" t="s">
        <v>614</v>
      </c>
      <c r="E89" t="s">
        <v>628</v>
      </c>
      <c r="F89" t="s">
        <v>639</v>
      </c>
      <c r="G89">
        <v>4</v>
      </c>
      <c r="H89" s="1">
        <v>18</v>
      </c>
      <c r="I89" s="1">
        <v>7</v>
      </c>
      <c r="J89" s="2">
        <v>0</v>
      </c>
      <c r="K89" t="s">
        <v>644</v>
      </c>
      <c r="L89" t="s">
        <v>650</v>
      </c>
      <c r="M89" t="s">
        <v>662</v>
      </c>
    </row>
    <row r="90" spans="1:13" x14ac:dyDescent="0.3">
      <c r="A90" t="s">
        <v>101</v>
      </c>
      <c r="B90" s="4">
        <v>45990</v>
      </c>
      <c r="C90" t="s">
        <v>575</v>
      </c>
      <c r="D90" t="s">
        <v>609</v>
      </c>
      <c r="E90" t="s">
        <v>636</v>
      </c>
      <c r="F90" t="s">
        <v>641</v>
      </c>
      <c r="G90">
        <v>5</v>
      </c>
      <c r="H90" s="1">
        <v>245</v>
      </c>
      <c r="I90" s="1">
        <v>150</v>
      </c>
      <c r="J90" s="2">
        <v>0.2</v>
      </c>
      <c r="K90" t="s">
        <v>647</v>
      </c>
      <c r="L90" t="s">
        <v>650</v>
      </c>
      <c r="M90" t="s">
        <v>668</v>
      </c>
    </row>
    <row r="91" spans="1:13" x14ac:dyDescent="0.3">
      <c r="A91" t="s">
        <v>102</v>
      </c>
      <c r="B91" s="4">
        <v>45874</v>
      </c>
      <c r="C91" t="s">
        <v>568</v>
      </c>
      <c r="D91" t="s">
        <v>601</v>
      </c>
      <c r="E91" t="s">
        <v>627</v>
      </c>
      <c r="F91" t="s">
        <v>639</v>
      </c>
      <c r="G91">
        <v>5</v>
      </c>
      <c r="H91" s="1">
        <v>38</v>
      </c>
      <c r="I91" s="1">
        <v>17</v>
      </c>
      <c r="J91" s="2">
        <v>0</v>
      </c>
      <c r="K91" t="s">
        <v>643</v>
      </c>
      <c r="L91" t="s">
        <v>650</v>
      </c>
      <c r="M91" t="s">
        <v>666</v>
      </c>
    </row>
    <row r="92" spans="1:13" x14ac:dyDescent="0.3">
      <c r="A92" t="s">
        <v>103</v>
      </c>
      <c r="B92" s="4">
        <v>46009</v>
      </c>
      <c r="C92" t="s">
        <v>569</v>
      </c>
      <c r="D92" t="s">
        <v>616</v>
      </c>
      <c r="E92" t="s">
        <v>634</v>
      </c>
      <c r="F92" t="s">
        <v>641</v>
      </c>
      <c r="G92">
        <v>3</v>
      </c>
      <c r="H92" s="1">
        <v>59</v>
      </c>
      <c r="I92" s="1">
        <v>30</v>
      </c>
      <c r="J92" s="2">
        <v>0</v>
      </c>
      <c r="K92" t="s">
        <v>647</v>
      </c>
      <c r="L92" t="s">
        <v>649</v>
      </c>
      <c r="M92" t="s">
        <v>662</v>
      </c>
    </row>
    <row r="93" spans="1:13" x14ac:dyDescent="0.3">
      <c r="A93" t="s">
        <v>104</v>
      </c>
      <c r="B93" s="4">
        <v>45709</v>
      </c>
      <c r="C93" t="s">
        <v>577</v>
      </c>
      <c r="D93" t="s">
        <v>609</v>
      </c>
      <c r="E93" t="s">
        <v>632</v>
      </c>
      <c r="F93" t="s">
        <v>639</v>
      </c>
      <c r="G93">
        <v>4</v>
      </c>
      <c r="H93" s="1">
        <v>42</v>
      </c>
      <c r="I93" s="1">
        <v>21</v>
      </c>
      <c r="J93" s="2">
        <v>0.15</v>
      </c>
      <c r="K93" t="s">
        <v>645</v>
      </c>
      <c r="L93" t="s">
        <v>649</v>
      </c>
      <c r="M93" t="s">
        <v>670</v>
      </c>
    </row>
    <row r="94" spans="1:13" x14ac:dyDescent="0.3">
      <c r="A94" t="s">
        <v>105</v>
      </c>
      <c r="B94" s="4">
        <v>45874</v>
      </c>
      <c r="C94" t="s">
        <v>582</v>
      </c>
      <c r="D94" t="s">
        <v>614</v>
      </c>
      <c r="E94" t="s">
        <v>636</v>
      </c>
      <c r="F94" t="s">
        <v>641</v>
      </c>
      <c r="G94">
        <v>3</v>
      </c>
      <c r="H94" s="1">
        <v>245</v>
      </c>
      <c r="I94" s="1">
        <v>150</v>
      </c>
      <c r="J94" s="2">
        <v>0</v>
      </c>
      <c r="K94" t="s">
        <v>643</v>
      </c>
      <c r="L94" t="s">
        <v>648</v>
      </c>
      <c r="M94" t="s">
        <v>658</v>
      </c>
    </row>
    <row r="95" spans="1:13" x14ac:dyDescent="0.3">
      <c r="A95" t="s">
        <v>106</v>
      </c>
      <c r="B95" s="4">
        <v>45939</v>
      </c>
      <c r="C95" t="s">
        <v>575</v>
      </c>
      <c r="D95" t="s">
        <v>599</v>
      </c>
      <c r="E95" t="s">
        <v>636</v>
      </c>
      <c r="F95" t="s">
        <v>641</v>
      </c>
      <c r="G95">
        <v>2</v>
      </c>
      <c r="H95" s="1">
        <v>245</v>
      </c>
      <c r="I95" s="1">
        <v>150</v>
      </c>
      <c r="J95" s="2">
        <v>0.1</v>
      </c>
      <c r="K95" t="s">
        <v>642</v>
      </c>
      <c r="L95" t="s">
        <v>648</v>
      </c>
    </row>
    <row r="96" spans="1:13" x14ac:dyDescent="0.3">
      <c r="A96" t="s">
        <v>107</v>
      </c>
      <c r="B96" s="4">
        <v>46002</v>
      </c>
      <c r="C96" t="s">
        <v>571</v>
      </c>
      <c r="D96" t="s">
        <v>600</v>
      </c>
      <c r="E96" t="s">
        <v>626</v>
      </c>
      <c r="F96" t="s">
        <v>638</v>
      </c>
      <c r="G96">
        <v>4</v>
      </c>
      <c r="H96" s="1">
        <v>36</v>
      </c>
      <c r="I96" s="1">
        <v>16</v>
      </c>
      <c r="J96" s="2">
        <v>0</v>
      </c>
      <c r="K96" t="s">
        <v>647</v>
      </c>
      <c r="L96" t="s">
        <v>648</v>
      </c>
      <c r="M96" t="s">
        <v>664</v>
      </c>
    </row>
    <row r="97" spans="1:13" x14ac:dyDescent="0.3">
      <c r="A97" t="s">
        <v>108</v>
      </c>
      <c r="B97" s="4">
        <v>45873</v>
      </c>
      <c r="C97" t="s">
        <v>572</v>
      </c>
      <c r="D97" t="s">
        <v>600</v>
      </c>
      <c r="E97" t="s">
        <v>626</v>
      </c>
      <c r="F97" t="s">
        <v>638</v>
      </c>
      <c r="G97">
        <v>4</v>
      </c>
      <c r="H97" s="1">
        <v>36</v>
      </c>
      <c r="I97" s="1">
        <v>16</v>
      </c>
      <c r="J97" s="2">
        <v>0.15</v>
      </c>
      <c r="K97" t="s">
        <v>645</v>
      </c>
      <c r="L97" t="s">
        <v>648</v>
      </c>
      <c r="M97" t="s">
        <v>665</v>
      </c>
    </row>
    <row r="98" spans="1:13" x14ac:dyDescent="0.3">
      <c r="A98" t="s">
        <v>109</v>
      </c>
      <c r="B98" s="4">
        <v>45889</v>
      </c>
      <c r="C98" t="s">
        <v>576</v>
      </c>
      <c r="E98" t="s">
        <v>637</v>
      </c>
      <c r="F98" t="s">
        <v>641</v>
      </c>
      <c r="G98">
        <v>3</v>
      </c>
      <c r="H98" s="1">
        <v>175</v>
      </c>
      <c r="I98" s="1">
        <v>105</v>
      </c>
      <c r="J98" s="2">
        <v>0.1</v>
      </c>
      <c r="K98" t="s">
        <v>644</v>
      </c>
      <c r="L98" t="s">
        <v>648</v>
      </c>
      <c r="M98" t="s">
        <v>669</v>
      </c>
    </row>
    <row r="99" spans="1:13" x14ac:dyDescent="0.3">
      <c r="A99" t="s">
        <v>110</v>
      </c>
      <c r="B99" s="4">
        <v>45801</v>
      </c>
      <c r="C99" t="s">
        <v>577</v>
      </c>
      <c r="D99" t="s">
        <v>620</v>
      </c>
      <c r="E99" t="s">
        <v>631</v>
      </c>
      <c r="F99" t="s">
        <v>641</v>
      </c>
      <c r="G99">
        <v>2</v>
      </c>
      <c r="H99" s="1">
        <v>85</v>
      </c>
      <c r="I99" s="1">
        <v>44</v>
      </c>
      <c r="J99" s="2">
        <v>0</v>
      </c>
      <c r="K99" t="s">
        <v>646</v>
      </c>
      <c r="L99" t="s">
        <v>649</v>
      </c>
      <c r="M99" t="s">
        <v>670</v>
      </c>
    </row>
    <row r="100" spans="1:13" x14ac:dyDescent="0.3">
      <c r="A100" t="s">
        <v>111</v>
      </c>
      <c r="B100" s="4">
        <v>45774</v>
      </c>
      <c r="C100" t="s">
        <v>583</v>
      </c>
      <c r="D100" t="s">
        <v>616</v>
      </c>
      <c r="E100" t="s">
        <v>633</v>
      </c>
      <c r="F100" t="s">
        <v>638</v>
      </c>
      <c r="G100">
        <v>3</v>
      </c>
      <c r="H100" s="1">
        <v>210</v>
      </c>
      <c r="I100" s="1">
        <v>125</v>
      </c>
      <c r="J100" s="2">
        <v>0.05</v>
      </c>
      <c r="K100" t="s">
        <v>645</v>
      </c>
      <c r="L100" t="s">
        <v>649</v>
      </c>
      <c r="M100" t="s">
        <v>673</v>
      </c>
    </row>
    <row r="101" spans="1:13" x14ac:dyDescent="0.3">
      <c r="A101" t="s">
        <v>112</v>
      </c>
      <c r="B101" s="4">
        <v>45877</v>
      </c>
      <c r="C101" t="s">
        <v>571</v>
      </c>
      <c r="D101" t="s">
        <v>602</v>
      </c>
      <c r="E101" t="s">
        <v>629</v>
      </c>
      <c r="F101" t="s">
        <v>640</v>
      </c>
      <c r="G101">
        <v>3</v>
      </c>
      <c r="H101" s="1">
        <v>92</v>
      </c>
      <c r="I101" s="1">
        <v>53</v>
      </c>
      <c r="J101" s="2">
        <v>0</v>
      </c>
      <c r="K101" t="s">
        <v>646</v>
      </c>
      <c r="L101" t="s">
        <v>652</v>
      </c>
      <c r="M101" t="s">
        <v>664</v>
      </c>
    </row>
    <row r="102" spans="1:13" x14ac:dyDescent="0.3">
      <c r="A102" t="s">
        <v>113</v>
      </c>
      <c r="B102" s="4">
        <v>45937</v>
      </c>
      <c r="C102" t="s">
        <v>583</v>
      </c>
      <c r="D102" t="s">
        <v>601</v>
      </c>
      <c r="E102" t="s">
        <v>634</v>
      </c>
      <c r="F102" t="s">
        <v>641</v>
      </c>
      <c r="G102">
        <v>3</v>
      </c>
      <c r="H102" s="1">
        <v>59</v>
      </c>
      <c r="I102" s="1">
        <v>30</v>
      </c>
      <c r="J102" s="2">
        <v>0.05</v>
      </c>
      <c r="K102" t="s">
        <v>642</v>
      </c>
      <c r="L102" t="s">
        <v>651</v>
      </c>
      <c r="M102" t="s">
        <v>673</v>
      </c>
    </row>
    <row r="103" spans="1:13" x14ac:dyDescent="0.3">
      <c r="A103" t="s">
        <v>114</v>
      </c>
      <c r="B103" s="4">
        <v>45972</v>
      </c>
      <c r="C103" t="s">
        <v>569</v>
      </c>
      <c r="D103" t="s">
        <v>616</v>
      </c>
      <c r="E103" t="s">
        <v>626</v>
      </c>
      <c r="F103" t="s">
        <v>638</v>
      </c>
      <c r="G103">
        <v>5</v>
      </c>
      <c r="H103" s="1">
        <v>36</v>
      </c>
      <c r="I103" s="1">
        <v>16</v>
      </c>
      <c r="J103" s="2">
        <v>0</v>
      </c>
      <c r="K103" t="s">
        <v>645</v>
      </c>
      <c r="L103" t="s">
        <v>649</v>
      </c>
      <c r="M103" t="s">
        <v>662</v>
      </c>
    </row>
    <row r="104" spans="1:13" x14ac:dyDescent="0.3">
      <c r="A104" t="s">
        <v>115</v>
      </c>
      <c r="B104" s="4">
        <v>45661</v>
      </c>
      <c r="C104" t="s">
        <v>568</v>
      </c>
      <c r="D104" t="s">
        <v>617</v>
      </c>
      <c r="E104" t="s">
        <v>637</v>
      </c>
      <c r="F104" t="s">
        <v>641</v>
      </c>
      <c r="G104">
        <v>3</v>
      </c>
      <c r="H104" s="1">
        <v>175</v>
      </c>
      <c r="I104" s="1">
        <v>105</v>
      </c>
      <c r="J104" s="2">
        <v>0</v>
      </c>
      <c r="K104" t="s">
        <v>644</v>
      </c>
      <c r="L104" t="s">
        <v>648</v>
      </c>
      <c r="M104" t="s">
        <v>666</v>
      </c>
    </row>
    <row r="105" spans="1:13" x14ac:dyDescent="0.3">
      <c r="A105" t="s">
        <v>116</v>
      </c>
      <c r="B105" s="4">
        <v>45756</v>
      </c>
      <c r="C105" t="s">
        <v>580</v>
      </c>
      <c r="D105" t="s">
        <v>602</v>
      </c>
      <c r="E105" t="s">
        <v>626</v>
      </c>
      <c r="F105" t="s">
        <v>638</v>
      </c>
      <c r="G105">
        <v>4</v>
      </c>
      <c r="H105" s="1">
        <v>36</v>
      </c>
      <c r="I105" s="1">
        <v>16</v>
      </c>
      <c r="J105" s="2">
        <v>0.05</v>
      </c>
      <c r="K105" t="s">
        <v>645</v>
      </c>
      <c r="L105" t="s">
        <v>648</v>
      </c>
      <c r="M105" t="s">
        <v>672</v>
      </c>
    </row>
    <row r="106" spans="1:13" x14ac:dyDescent="0.3">
      <c r="A106" t="s">
        <v>117</v>
      </c>
      <c r="B106" s="4">
        <v>45771</v>
      </c>
      <c r="C106" t="s">
        <v>568</v>
      </c>
      <c r="D106" t="s">
        <v>603</v>
      </c>
      <c r="E106" t="s">
        <v>631</v>
      </c>
      <c r="F106" t="s">
        <v>641</v>
      </c>
      <c r="G106">
        <v>2</v>
      </c>
      <c r="H106" s="1">
        <v>85</v>
      </c>
      <c r="I106" s="1">
        <v>44</v>
      </c>
      <c r="J106" s="2">
        <v>0.1</v>
      </c>
      <c r="K106" t="s">
        <v>647</v>
      </c>
      <c r="L106" t="s">
        <v>648</v>
      </c>
      <c r="M106" t="s">
        <v>666</v>
      </c>
    </row>
    <row r="107" spans="1:13" x14ac:dyDescent="0.3">
      <c r="A107" t="s">
        <v>118</v>
      </c>
      <c r="B107" s="4">
        <v>45806</v>
      </c>
      <c r="C107" t="s">
        <v>577</v>
      </c>
      <c r="D107" t="s">
        <v>603</v>
      </c>
      <c r="E107" t="s">
        <v>635</v>
      </c>
      <c r="F107" t="s">
        <v>639</v>
      </c>
      <c r="G107">
        <v>1</v>
      </c>
      <c r="H107" s="1">
        <v>65</v>
      </c>
      <c r="I107" s="1">
        <v>31</v>
      </c>
      <c r="J107" s="2">
        <v>0.1</v>
      </c>
      <c r="K107" t="s">
        <v>642</v>
      </c>
      <c r="L107" t="s">
        <v>648</v>
      </c>
      <c r="M107" t="s">
        <v>678</v>
      </c>
    </row>
    <row r="108" spans="1:13" x14ac:dyDescent="0.3">
      <c r="A108" t="s">
        <v>119</v>
      </c>
      <c r="B108" s="4">
        <v>45871</v>
      </c>
      <c r="C108" t="s">
        <v>589</v>
      </c>
      <c r="D108" t="s">
        <v>620</v>
      </c>
      <c r="E108" t="s">
        <v>627</v>
      </c>
      <c r="F108" t="s">
        <v>639</v>
      </c>
      <c r="G108">
        <v>2</v>
      </c>
      <c r="H108" s="1">
        <v>38</v>
      </c>
      <c r="I108" s="1">
        <v>17</v>
      </c>
      <c r="J108" s="2">
        <v>0</v>
      </c>
      <c r="K108" t="s">
        <v>647</v>
      </c>
      <c r="L108" t="s">
        <v>650</v>
      </c>
      <c r="M108" t="s">
        <v>666</v>
      </c>
    </row>
    <row r="109" spans="1:13" x14ac:dyDescent="0.3">
      <c r="A109" t="s">
        <v>120</v>
      </c>
      <c r="B109" s="4">
        <v>45747</v>
      </c>
      <c r="C109" t="s">
        <v>564</v>
      </c>
      <c r="D109" t="s">
        <v>616</v>
      </c>
      <c r="E109" t="s">
        <v>632</v>
      </c>
      <c r="F109" t="s">
        <v>639</v>
      </c>
      <c r="G109">
        <v>3</v>
      </c>
      <c r="H109" s="1">
        <v>42</v>
      </c>
      <c r="I109" s="1">
        <v>21</v>
      </c>
      <c r="J109" s="2">
        <v>0</v>
      </c>
      <c r="K109" t="s">
        <v>644</v>
      </c>
      <c r="L109" t="s">
        <v>649</v>
      </c>
      <c r="M109" t="s">
        <v>657</v>
      </c>
    </row>
    <row r="110" spans="1:13" x14ac:dyDescent="0.3">
      <c r="A110" t="s">
        <v>121</v>
      </c>
      <c r="B110" s="4">
        <v>45884</v>
      </c>
      <c r="C110" t="s">
        <v>572</v>
      </c>
      <c r="D110" t="s">
        <v>624</v>
      </c>
      <c r="E110" t="s">
        <v>636</v>
      </c>
      <c r="F110" t="s">
        <v>641</v>
      </c>
      <c r="G110">
        <v>5</v>
      </c>
      <c r="H110" s="1">
        <v>245</v>
      </c>
      <c r="I110" s="1">
        <v>150</v>
      </c>
      <c r="J110" s="2">
        <v>0.05</v>
      </c>
      <c r="K110" t="s">
        <v>645</v>
      </c>
      <c r="L110" t="s">
        <v>651</v>
      </c>
      <c r="M110" t="s">
        <v>665</v>
      </c>
    </row>
    <row r="111" spans="1:13" x14ac:dyDescent="0.3">
      <c r="A111" t="s">
        <v>122</v>
      </c>
      <c r="B111" s="4">
        <v>46014</v>
      </c>
      <c r="C111" t="s">
        <v>575</v>
      </c>
      <c r="D111" t="s">
        <v>605</v>
      </c>
      <c r="E111" t="s">
        <v>636</v>
      </c>
      <c r="F111" t="s">
        <v>641</v>
      </c>
      <c r="G111">
        <v>1</v>
      </c>
      <c r="H111" s="1">
        <v>245</v>
      </c>
      <c r="I111" s="1">
        <v>150</v>
      </c>
      <c r="J111" s="2">
        <v>0.05</v>
      </c>
      <c r="K111" t="s">
        <v>642</v>
      </c>
      <c r="L111" t="s">
        <v>650</v>
      </c>
      <c r="M111" t="s">
        <v>668</v>
      </c>
    </row>
    <row r="112" spans="1:13" x14ac:dyDescent="0.3">
      <c r="A112" t="s">
        <v>43</v>
      </c>
      <c r="B112" s="4">
        <v>45778</v>
      </c>
      <c r="C112" t="s">
        <v>581</v>
      </c>
      <c r="D112" t="s">
        <v>613</v>
      </c>
      <c r="E112" t="s">
        <v>626</v>
      </c>
      <c r="F112" t="s">
        <v>638</v>
      </c>
      <c r="G112">
        <v>1</v>
      </c>
      <c r="H112" s="1">
        <v>36</v>
      </c>
      <c r="I112" s="1">
        <v>16</v>
      </c>
      <c r="J112" s="2">
        <v>0.1</v>
      </c>
      <c r="K112" t="s">
        <v>642</v>
      </c>
      <c r="L112" t="s">
        <v>648</v>
      </c>
      <c r="M112" t="s">
        <v>663</v>
      </c>
    </row>
    <row r="113" spans="1:13" x14ac:dyDescent="0.3">
      <c r="A113" t="s">
        <v>123</v>
      </c>
      <c r="B113" s="4">
        <v>45963</v>
      </c>
      <c r="C113" t="s">
        <v>575</v>
      </c>
      <c r="D113" t="s">
        <v>612</v>
      </c>
      <c r="E113" t="s">
        <v>629</v>
      </c>
      <c r="F113" t="s">
        <v>640</v>
      </c>
      <c r="G113">
        <v>1</v>
      </c>
      <c r="H113" s="1">
        <v>92</v>
      </c>
      <c r="I113" s="1">
        <v>53</v>
      </c>
      <c r="J113" s="2">
        <v>0.2</v>
      </c>
      <c r="K113" t="s">
        <v>645</v>
      </c>
      <c r="L113" t="s">
        <v>649</v>
      </c>
      <c r="M113" t="s">
        <v>668</v>
      </c>
    </row>
    <row r="114" spans="1:13" x14ac:dyDescent="0.3">
      <c r="A114" t="s">
        <v>124</v>
      </c>
      <c r="B114" s="4">
        <v>45798</v>
      </c>
      <c r="C114" t="s">
        <v>583</v>
      </c>
      <c r="D114" t="s">
        <v>609</v>
      </c>
      <c r="E114" t="s">
        <v>626</v>
      </c>
      <c r="F114" t="s">
        <v>638</v>
      </c>
      <c r="G114">
        <v>5</v>
      </c>
      <c r="H114" s="1">
        <v>36</v>
      </c>
      <c r="I114" s="1">
        <v>16</v>
      </c>
      <c r="J114" s="2">
        <v>0</v>
      </c>
      <c r="K114" t="s">
        <v>645</v>
      </c>
      <c r="L114" t="s">
        <v>649</v>
      </c>
      <c r="M114" t="s">
        <v>673</v>
      </c>
    </row>
    <row r="115" spans="1:13" x14ac:dyDescent="0.3">
      <c r="A115" t="s">
        <v>125</v>
      </c>
      <c r="B115" s="4">
        <v>46005</v>
      </c>
      <c r="C115" t="s">
        <v>568</v>
      </c>
      <c r="D115" t="s">
        <v>614</v>
      </c>
      <c r="E115" t="s">
        <v>637</v>
      </c>
      <c r="F115" t="s">
        <v>641</v>
      </c>
      <c r="G115">
        <v>3</v>
      </c>
      <c r="H115" s="1">
        <v>175</v>
      </c>
      <c r="I115" s="1">
        <v>105</v>
      </c>
      <c r="J115" s="2">
        <v>0</v>
      </c>
      <c r="K115" t="s">
        <v>643</v>
      </c>
      <c r="L115" t="s">
        <v>654</v>
      </c>
      <c r="M115" t="s">
        <v>666</v>
      </c>
    </row>
    <row r="116" spans="1:13" x14ac:dyDescent="0.3">
      <c r="A116" t="s">
        <v>126</v>
      </c>
      <c r="B116" s="4">
        <v>45827</v>
      </c>
      <c r="C116" t="s">
        <v>589</v>
      </c>
      <c r="D116" t="s">
        <v>619</v>
      </c>
      <c r="E116" t="s">
        <v>626</v>
      </c>
      <c r="F116" t="s">
        <v>638</v>
      </c>
      <c r="G116">
        <v>4</v>
      </c>
      <c r="H116" s="1">
        <v>36</v>
      </c>
      <c r="I116" s="1">
        <v>16</v>
      </c>
      <c r="J116" s="2">
        <v>0</v>
      </c>
      <c r="K116" t="s">
        <v>644</v>
      </c>
      <c r="L116" t="s">
        <v>651</v>
      </c>
      <c r="M116" t="s">
        <v>666</v>
      </c>
    </row>
    <row r="117" spans="1:13" x14ac:dyDescent="0.3">
      <c r="A117" t="s">
        <v>127</v>
      </c>
      <c r="B117" s="4">
        <v>45967</v>
      </c>
      <c r="C117" t="s">
        <v>582</v>
      </c>
      <c r="D117" t="s">
        <v>605</v>
      </c>
      <c r="E117" t="s">
        <v>629</v>
      </c>
      <c r="F117" t="s">
        <v>640</v>
      </c>
      <c r="G117">
        <v>3</v>
      </c>
      <c r="H117" s="1">
        <v>92</v>
      </c>
      <c r="I117" s="1">
        <v>53</v>
      </c>
      <c r="J117" s="2">
        <v>0.15</v>
      </c>
      <c r="K117" t="s">
        <v>643</v>
      </c>
      <c r="L117" t="s">
        <v>648</v>
      </c>
      <c r="M117" t="s">
        <v>658</v>
      </c>
    </row>
    <row r="118" spans="1:13" x14ac:dyDescent="0.3">
      <c r="A118" t="s">
        <v>27</v>
      </c>
      <c r="B118" s="4">
        <v>45795</v>
      </c>
      <c r="C118" t="s">
        <v>574</v>
      </c>
      <c r="D118" t="s">
        <v>609</v>
      </c>
      <c r="E118" t="s">
        <v>634</v>
      </c>
      <c r="F118" t="s">
        <v>641</v>
      </c>
      <c r="G118">
        <v>5</v>
      </c>
      <c r="H118" s="1">
        <v>59</v>
      </c>
      <c r="I118" s="1">
        <v>30</v>
      </c>
      <c r="J118" s="2">
        <v>0.1</v>
      </c>
      <c r="K118" t="s">
        <v>643</v>
      </c>
      <c r="L118" t="s">
        <v>649</v>
      </c>
      <c r="M118" t="s">
        <v>660</v>
      </c>
    </row>
    <row r="119" spans="1:13" x14ac:dyDescent="0.3">
      <c r="A119" t="s">
        <v>128</v>
      </c>
      <c r="B119" s="4">
        <v>45957</v>
      </c>
      <c r="C119" t="s">
        <v>576</v>
      </c>
      <c r="D119" t="s">
        <v>604</v>
      </c>
      <c r="E119" t="s">
        <v>630</v>
      </c>
      <c r="F119" t="s">
        <v>640</v>
      </c>
      <c r="G119">
        <v>4</v>
      </c>
      <c r="H119" s="1">
        <v>78</v>
      </c>
      <c r="I119" s="1">
        <v>45</v>
      </c>
      <c r="J119" s="2">
        <v>0</v>
      </c>
      <c r="K119" t="s">
        <v>645</v>
      </c>
      <c r="L119" t="s">
        <v>651</v>
      </c>
      <c r="M119" t="s">
        <v>669</v>
      </c>
    </row>
    <row r="120" spans="1:13" x14ac:dyDescent="0.3">
      <c r="A120" t="s">
        <v>109</v>
      </c>
      <c r="B120" s="4">
        <v>45889</v>
      </c>
      <c r="C120" t="s">
        <v>576</v>
      </c>
      <c r="D120" t="s">
        <v>622</v>
      </c>
      <c r="E120" t="s">
        <v>637</v>
      </c>
      <c r="F120" t="s">
        <v>641</v>
      </c>
      <c r="G120">
        <v>3</v>
      </c>
      <c r="H120" s="1">
        <v>175</v>
      </c>
      <c r="I120" s="1">
        <v>105</v>
      </c>
      <c r="J120" s="2">
        <v>0.1</v>
      </c>
      <c r="K120" t="s">
        <v>644</v>
      </c>
      <c r="L120" t="s">
        <v>648</v>
      </c>
      <c r="M120" t="s">
        <v>669</v>
      </c>
    </row>
    <row r="121" spans="1:13" x14ac:dyDescent="0.3">
      <c r="A121" t="s">
        <v>129</v>
      </c>
      <c r="B121" s="4">
        <v>45824</v>
      </c>
      <c r="C121" t="s">
        <v>572</v>
      </c>
      <c r="D121" t="s">
        <v>608</v>
      </c>
      <c r="E121" t="s">
        <v>637</v>
      </c>
      <c r="F121" t="s">
        <v>641</v>
      </c>
      <c r="G121">
        <v>3</v>
      </c>
      <c r="H121" s="1">
        <v>175</v>
      </c>
      <c r="I121" s="1">
        <v>105</v>
      </c>
      <c r="J121" s="2">
        <v>0.05</v>
      </c>
      <c r="K121" t="s">
        <v>646</v>
      </c>
      <c r="L121" t="s">
        <v>648</v>
      </c>
      <c r="M121" t="s">
        <v>665</v>
      </c>
    </row>
    <row r="122" spans="1:13" x14ac:dyDescent="0.3">
      <c r="A122" t="s">
        <v>130</v>
      </c>
      <c r="B122" s="4">
        <v>45941</v>
      </c>
      <c r="C122" t="s">
        <v>583</v>
      </c>
      <c r="D122" t="s">
        <v>620</v>
      </c>
      <c r="E122" t="s">
        <v>629</v>
      </c>
      <c r="F122" t="s">
        <v>640</v>
      </c>
      <c r="G122">
        <v>2</v>
      </c>
      <c r="H122" s="1">
        <v>92</v>
      </c>
      <c r="I122" s="1">
        <v>53</v>
      </c>
      <c r="J122" s="2">
        <v>0.05</v>
      </c>
      <c r="K122" t="s">
        <v>647</v>
      </c>
      <c r="L122" t="s">
        <v>650</v>
      </c>
      <c r="M122" t="s">
        <v>673</v>
      </c>
    </row>
    <row r="123" spans="1:13" x14ac:dyDescent="0.3">
      <c r="A123" t="s">
        <v>131</v>
      </c>
      <c r="B123" s="4">
        <v>45751</v>
      </c>
      <c r="C123" t="s">
        <v>584</v>
      </c>
      <c r="D123" t="s">
        <v>624</v>
      </c>
      <c r="E123" t="s">
        <v>633</v>
      </c>
      <c r="F123" t="s">
        <v>638</v>
      </c>
      <c r="G123">
        <v>3</v>
      </c>
      <c r="H123" s="1">
        <v>210</v>
      </c>
      <c r="I123" s="1">
        <v>125</v>
      </c>
      <c r="J123" s="2">
        <v>0</v>
      </c>
      <c r="K123" t="s">
        <v>646</v>
      </c>
      <c r="L123" t="s">
        <v>649</v>
      </c>
      <c r="M123" t="s">
        <v>675</v>
      </c>
    </row>
    <row r="124" spans="1:13" x14ac:dyDescent="0.3">
      <c r="A124" t="s">
        <v>132</v>
      </c>
      <c r="B124" s="4">
        <v>45787</v>
      </c>
      <c r="C124" t="s">
        <v>586</v>
      </c>
      <c r="D124" t="s">
        <v>605</v>
      </c>
      <c r="E124" t="s">
        <v>637</v>
      </c>
      <c r="F124" t="s">
        <v>641</v>
      </c>
      <c r="G124">
        <v>1</v>
      </c>
      <c r="H124" s="1">
        <v>175</v>
      </c>
      <c r="I124" s="1">
        <v>105</v>
      </c>
      <c r="J124" s="2">
        <v>0</v>
      </c>
      <c r="K124" t="s">
        <v>643</v>
      </c>
      <c r="L124" t="s">
        <v>652</v>
      </c>
      <c r="M124" t="s">
        <v>671</v>
      </c>
    </row>
    <row r="125" spans="1:13" x14ac:dyDescent="0.3">
      <c r="A125" t="s">
        <v>133</v>
      </c>
      <c r="B125" s="4">
        <v>45841</v>
      </c>
      <c r="C125" t="s">
        <v>576</v>
      </c>
      <c r="D125" t="s">
        <v>622</v>
      </c>
      <c r="E125" t="s">
        <v>633</v>
      </c>
      <c r="F125" t="s">
        <v>638</v>
      </c>
      <c r="G125">
        <v>5</v>
      </c>
      <c r="H125" s="1">
        <v>210</v>
      </c>
      <c r="I125" s="1">
        <v>125</v>
      </c>
      <c r="J125" s="2">
        <v>0</v>
      </c>
      <c r="K125" t="s">
        <v>645</v>
      </c>
      <c r="L125" t="s">
        <v>649</v>
      </c>
      <c r="M125" t="s">
        <v>669</v>
      </c>
    </row>
    <row r="126" spans="1:13" x14ac:dyDescent="0.3">
      <c r="A126" t="s">
        <v>134</v>
      </c>
      <c r="B126" s="4">
        <v>45875</v>
      </c>
      <c r="C126" t="s">
        <v>580</v>
      </c>
      <c r="D126" t="s">
        <v>607</v>
      </c>
      <c r="E126" t="s">
        <v>626</v>
      </c>
      <c r="F126" t="s">
        <v>638</v>
      </c>
      <c r="G126">
        <v>4</v>
      </c>
      <c r="H126" s="1">
        <v>36</v>
      </c>
      <c r="I126" s="1">
        <v>16</v>
      </c>
      <c r="J126" s="2">
        <v>0</v>
      </c>
      <c r="K126" t="s">
        <v>647</v>
      </c>
      <c r="L126" t="s">
        <v>651</v>
      </c>
      <c r="M126" t="s">
        <v>672</v>
      </c>
    </row>
    <row r="127" spans="1:13" x14ac:dyDescent="0.3">
      <c r="A127" t="s">
        <v>135</v>
      </c>
      <c r="B127" s="4">
        <v>45975</v>
      </c>
      <c r="C127" t="s">
        <v>570</v>
      </c>
      <c r="D127" t="s">
        <v>619</v>
      </c>
      <c r="E127" t="s">
        <v>635</v>
      </c>
      <c r="F127" t="s">
        <v>639</v>
      </c>
      <c r="G127">
        <v>3</v>
      </c>
      <c r="H127" s="1">
        <v>65</v>
      </c>
      <c r="I127" s="1">
        <v>31</v>
      </c>
      <c r="J127" s="2">
        <v>0</v>
      </c>
      <c r="K127" t="s">
        <v>646</v>
      </c>
      <c r="L127" t="s">
        <v>650</v>
      </c>
      <c r="M127" t="s">
        <v>663</v>
      </c>
    </row>
    <row r="128" spans="1:13" x14ac:dyDescent="0.3">
      <c r="A128" t="s">
        <v>136</v>
      </c>
      <c r="B128" s="4">
        <v>45821</v>
      </c>
      <c r="C128" t="s">
        <v>566</v>
      </c>
      <c r="D128" t="s">
        <v>610</v>
      </c>
      <c r="E128" t="s">
        <v>627</v>
      </c>
      <c r="F128" t="s">
        <v>639</v>
      </c>
      <c r="G128">
        <v>1</v>
      </c>
      <c r="H128" s="1">
        <v>38</v>
      </c>
      <c r="I128" s="1">
        <v>17</v>
      </c>
      <c r="J128" s="2">
        <v>0.1</v>
      </c>
      <c r="K128" t="s">
        <v>645</v>
      </c>
      <c r="L128" t="s">
        <v>651</v>
      </c>
      <c r="M128" t="s">
        <v>659</v>
      </c>
    </row>
    <row r="129" spans="1:13" x14ac:dyDescent="0.3">
      <c r="A129" t="s">
        <v>137</v>
      </c>
      <c r="B129" s="4">
        <v>45700</v>
      </c>
      <c r="C129" t="s">
        <v>574</v>
      </c>
      <c r="D129" t="s">
        <v>603</v>
      </c>
      <c r="E129" t="s">
        <v>626</v>
      </c>
      <c r="F129" t="s">
        <v>638</v>
      </c>
      <c r="G129">
        <v>4</v>
      </c>
      <c r="H129" s="1">
        <v>36</v>
      </c>
      <c r="I129" s="1">
        <v>16</v>
      </c>
      <c r="J129" s="2">
        <v>0.05</v>
      </c>
      <c r="K129" t="s">
        <v>644</v>
      </c>
      <c r="L129" t="s">
        <v>649</v>
      </c>
      <c r="M129" t="s">
        <v>660</v>
      </c>
    </row>
    <row r="130" spans="1:13" x14ac:dyDescent="0.3">
      <c r="A130" t="s">
        <v>138</v>
      </c>
      <c r="B130" s="4">
        <v>45769</v>
      </c>
      <c r="C130" t="s">
        <v>581</v>
      </c>
      <c r="D130" t="s">
        <v>618</v>
      </c>
      <c r="E130" t="s">
        <v>631</v>
      </c>
      <c r="F130" t="s">
        <v>641</v>
      </c>
      <c r="G130">
        <v>1</v>
      </c>
      <c r="H130" s="1">
        <v>85</v>
      </c>
      <c r="I130" s="1">
        <v>44</v>
      </c>
      <c r="J130" s="2">
        <v>0.15</v>
      </c>
      <c r="K130" t="s">
        <v>645</v>
      </c>
      <c r="L130" t="s">
        <v>648</v>
      </c>
      <c r="M130" t="s">
        <v>663</v>
      </c>
    </row>
    <row r="131" spans="1:13" x14ac:dyDescent="0.3">
      <c r="A131" t="s">
        <v>139</v>
      </c>
      <c r="B131" s="4">
        <v>45942</v>
      </c>
      <c r="C131" t="s">
        <v>573</v>
      </c>
      <c r="D131" t="s">
        <v>610</v>
      </c>
      <c r="E131" t="s">
        <v>631</v>
      </c>
      <c r="F131" t="s">
        <v>641</v>
      </c>
      <c r="G131">
        <v>5</v>
      </c>
      <c r="H131" s="1">
        <v>85</v>
      </c>
      <c r="I131" s="1">
        <v>44</v>
      </c>
      <c r="J131" s="2">
        <v>0.2</v>
      </c>
      <c r="K131" t="s">
        <v>647</v>
      </c>
      <c r="L131" t="s">
        <v>649</v>
      </c>
      <c r="M131" t="s">
        <v>667</v>
      </c>
    </row>
    <row r="132" spans="1:13" x14ac:dyDescent="0.3">
      <c r="A132" t="s">
        <v>140</v>
      </c>
      <c r="B132" s="4">
        <v>45997</v>
      </c>
      <c r="C132" t="s">
        <v>578</v>
      </c>
      <c r="D132" t="s">
        <v>610</v>
      </c>
      <c r="E132" t="s">
        <v>629</v>
      </c>
      <c r="F132" t="s">
        <v>640</v>
      </c>
      <c r="G132">
        <v>2</v>
      </c>
      <c r="H132" s="1">
        <v>92</v>
      </c>
      <c r="I132" s="1">
        <v>53</v>
      </c>
      <c r="J132" s="2">
        <v>0</v>
      </c>
      <c r="K132" t="s">
        <v>643</v>
      </c>
      <c r="L132" t="s">
        <v>650</v>
      </c>
      <c r="M132" t="s">
        <v>671</v>
      </c>
    </row>
    <row r="133" spans="1:13" x14ac:dyDescent="0.3">
      <c r="A133" t="s">
        <v>141</v>
      </c>
      <c r="B133" s="4">
        <v>45892</v>
      </c>
      <c r="C133" t="s">
        <v>576</v>
      </c>
      <c r="D133" t="s">
        <v>622</v>
      </c>
      <c r="E133" t="s">
        <v>630</v>
      </c>
      <c r="F133" t="s">
        <v>640</v>
      </c>
      <c r="G133">
        <v>1</v>
      </c>
      <c r="H133" s="1">
        <v>78</v>
      </c>
      <c r="I133" s="1">
        <v>45</v>
      </c>
      <c r="J133" s="2">
        <v>0.05</v>
      </c>
      <c r="K133" t="s">
        <v>645</v>
      </c>
      <c r="L133" t="s">
        <v>650</v>
      </c>
      <c r="M133" t="s">
        <v>669</v>
      </c>
    </row>
    <row r="134" spans="1:13" x14ac:dyDescent="0.3">
      <c r="A134" t="s">
        <v>142</v>
      </c>
      <c r="B134" s="4">
        <v>45874</v>
      </c>
      <c r="C134" t="s">
        <v>580</v>
      </c>
      <c r="D134" t="s">
        <v>619</v>
      </c>
      <c r="E134" t="s">
        <v>632</v>
      </c>
      <c r="F134" t="s">
        <v>639</v>
      </c>
      <c r="G134">
        <v>5</v>
      </c>
      <c r="H134" s="1">
        <v>42</v>
      </c>
      <c r="I134" s="1">
        <v>21</v>
      </c>
      <c r="J134" s="2">
        <v>0</v>
      </c>
      <c r="K134" t="s">
        <v>646</v>
      </c>
      <c r="L134" t="s">
        <v>650</v>
      </c>
      <c r="M134" t="s">
        <v>672</v>
      </c>
    </row>
    <row r="135" spans="1:13" x14ac:dyDescent="0.3">
      <c r="A135" t="s">
        <v>143</v>
      </c>
      <c r="B135" s="4">
        <v>45723</v>
      </c>
      <c r="C135" t="s">
        <v>566</v>
      </c>
      <c r="D135" t="s">
        <v>616</v>
      </c>
      <c r="E135" t="s">
        <v>632</v>
      </c>
      <c r="F135" t="s">
        <v>639</v>
      </c>
      <c r="G135">
        <v>5</v>
      </c>
      <c r="H135" s="1">
        <v>42</v>
      </c>
      <c r="I135" s="1">
        <v>21</v>
      </c>
      <c r="J135" s="2">
        <v>0</v>
      </c>
      <c r="K135" t="s">
        <v>643</v>
      </c>
      <c r="L135" t="s">
        <v>648</v>
      </c>
      <c r="M135" t="s">
        <v>659</v>
      </c>
    </row>
    <row r="136" spans="1:13" x14ac:dyDescent="0.3">
      <c r="A136" t="s">
        <v>144</v>
      </c>
      <c r="B136" s="4">
        <v>45982</v>
      </c>
      <c r="C136" t="s">
        <v>572</v>
      </c>
      <c r="D136" t="s">
        <v>623</v>
      </c>
      <c r="E136" t="s">
        <v>633</v>
      </c>
      <c r="F136" t="s">
        <v>638</v>
      </c>
      <c r="G136">
        <v>5</v>
      </c>
      <c r="H136" s="1">
        <v>210</v>
      </c>
      <c r="I136" s="1">
        <v>125</v>
      </c>
      <c r="J136" s="2">
        <v>0</v>
      </c>
      <c r="K136" t="s">
        <v>646</v>
      </c>
      <c r="L136" t="s">
        <v>648</v>
      </c>
      <c r="M136" t="s">
        <v>665</v>
      </c>
    </row>
    <row r="137" spans="1:13" x14ac:dyDescent="0.3">
      <c r="A137" t="s">
        <v>145</v>
      </c>
      <c r="B137" s="4">
        <v>45908</v>
      </c>
      <c r="C137" t="s">
        <v>580</v>
      </c>
      <c r="D137" t="s">
        <v>613</v>
      </c>
      <c r="E137" t="s">
        <v>628</v>
      </c>
      <c r="F137" t="s">
        <v>639</v>
      </c>
      <c r="G137">
        <v>5</v>
      </c>
      <c r="H137" s="1">
        <v>18</v>
      </c>
      <c r="I137" s="1">
        <v>7</v>
      </c>
      <c r="J137" s="2">
        <v>0.1</v>
      </c>
      <c r="K137" t="s">
        <v>645</v>
      </c>
      <c r="L137" t="s">
        <v>650</v>
      </c>
      <c r="M137" t="s">
        <v>672</v>
      </c>
    </row>
    <row r="138" spans="1:13" x14ac:dyDescent="0.3">
      <c r="A138" t="s">
        <v>146</v>
      </c>
      <c r="B138" s="4">
        <v>45818</v>
      </c>
      <c r="C138" t="s">
        <v>567</v>
      </c>
      <c r="D138" t="s">
        <v>612</v>
      </c>
      <c r="E138" t="s">
        <v>629</v>
      </c>
      <c r="F138" t="s">
        <v>640</v>
      </c>
      <c r="G138">
        <v>4</v>
      </c>
      <c r="H138" s="1">
        <v>92</v>
      </c>
      <c r="I138" s="1">
        <v>53</v>
      </c>
      <c r="J138" s="2">
        <v>0</v>
      </c>
      <c r="K138" t="s">
        <v>647</v>
      </c>
      <c r="L138" t="s">
        <v>648</v>
      </c>
      <c r="M138" t="s">
        <v>660</v>
      </c>
    </row>
    <row r="139" spans="1:13" x14ac:dyDescent="0.3">
      <c r="A139" t="s">
        <v>147</v>
      </c>
      <c r="B139" s="4">
        <v>45835</v>
      </c>
      <c r="C139" t="s">
        <v>564</v>
      </c>
      <c r="D139" t="s">
        <v>619</v>
      </c>
      <c r="E139" t="s">
        <v>634</v>
      </c>
      <c r="F139" t="s">
        <v>641</v>
      </c>
      <c r="G139">
        <v>2</v>
      </c>
      <c r="H139" s="1">
        <v>59</v>
      </c>
      <c r="I139" s="1">
        <v>30</v>
      </c>
      <c r="J139" s="2">
        <v>0</v>
      </c>
      <c r="K139" t="s">
        <v>646</v>
      </c>
      <c r="L139" t="s">
        <v>651</v>
      </c>
      <c r="M139" t="s">
        <v>657</v>
      </c>
    </row>
    <row r="140" spans="1:13" x14ac:dyDescent="0.3">
      <c r="A140" t="s">
        <v>148</v>
      </c>
      <c r="B140" s="4">
        <v>45939</v>
      </c>
      <c r="C140" t="s">
        <v>571</v>
      </c>
      <c r="D140" t="s">
        <v>606</v>
      </c>
      <c r="E140" t="s">
        <v>626</v>
      </c>
      <c r="F140" t="s">
        <v>638</v>
      </c>
      <c r="G140">
        <v>5</v>
      </c>
      <c r="H140" s="1">
        <v>36</v>
      </c>
      <c r="I140" s="1">
        <v>16</v>
      </c>
      <c r="J140" s="2">
        <v>0.05</v>
      </c>
      <c r="K140" t="s">
        <v>642</v>
      </c>
      <c r="L140" t="s">
        <v>651</v>
      </c>
      <c r="M140" t="s">
        <v>664</v>
      </c>
    </row>
    <row r="141" spans="1:13" x14ac:dyDescent="0.3">
      <c r="A141" t="s">
        <v>149</v>
      </c>
      <c r="B141" s="4">
        <v>45840</v>
      </c>
      <c r="C141" t="s">
        <v>569</v>
      </c>
      <c r="D141" t="s">
        <v>620</v>
      </c>
      <c r="E141" t="s">
        <v>634</v>
      </c>
      <c r="F141" t="s">
        <v>641</v>
      </c>
      <c r="G141">
        <v>4</v>
      </c>
      <c r="H141" s="1">
        <v>59</v>
      </c>
      <c r="I141" s="1">
        <v>30</v>
      </c>
      <c r="J141" s="2">
        <v>0</v>
      </c>
      <c r="K141" t="s">
        <v>647</v>
      </c>
      <c r="L141" t="s">
        <v>648</v>
      </c>
      <c r="M141" t="s">
        <v>662</v>
      </c>
    </row>
    <row r="142" spans="1:13" x14ac:dyDescent="0.3">
      <c r="A142" t="s">
        <v>150</v>
      </c>
      <c r="B142" s="4">
        <v>45928</v>
      </c>
      <c r="C142" t="s">
        <v>590</v>
      </c>
      <c r="D142" t="s">
        <v>606</v>
      </c>
      <c r="E142" t="s">
        <v>635</v>
      </c>
      <c r="F142" t="s">
        <v>639</v>
      </c>
      <c r="G142">
        <v>4</v>
      </c>
      <c r="H142" s="1">
        <v>65</v>
      </c>
      <c r="I142" s="1">
        <v>31</v>
      </c>
      <c r="J142" s="2">
        <v>0</v>
      </c>
      <c r="K142" t="s">
        <v>646</v>
      </c>
      <c r="L142" t="s">
        <v>650</v>
      </c>
      <c r="M142" t="s">
        <v>662</v>
      </c>
    </row>
    <row r="143" spans="1:13" x14ac:dyDescent="0.3">
      <c r="A143" t="s">
        <v>151</v>
      </c>
      <c r="B143" s="4">
        <v>45761</v>
      </c>
      <c r="C143" t="s">
        <v>578</v>
      </c>
      <c r="D143" t="s">
        <v>619</v>
      </c>
      <c r="E143" t="s">
        <v>630</v>
      </c>
      <c r="F143" t="s">
        <v>640</v>
      </c>
      <c r="G143">
        <v>2</v>
      </c>
      <c r="H143" s="1">
        <v>78</v>
      </c>
      <c r="I143" s="1">
        <v>45</v>
      </c>
      <c r="J143" s="2">
        <v>0.15</v>
      </c>
      <c r="K143" t="s">
        <v>644</v>
      </c>
      <c r="L143" t="s">
        <v>649</v>
      </c>
      <c r="M143" t="s">
        <v>671</v>
      </c>
    </row>
    <row r="144" spans="1:13" x14ac:dyDescent="0.3">
      <c r="A144" t="s">
        <v>152</v>
      </c>
      <c r="B144" s="4">
        <v>45741</v>
      </c>
      <c r="C144" t="s">
        <v>580</v>
      </c>
      <c r="D144" t="s">
        <v>601</v>
      </c>
      <c r="E144" t="s">
        <v>631</v>
      </c>
      <c r="F144" t="s">
        <v>641</v>
      </c>
      <c r="G144">
        <v>4</v>
      </c>
      <c r="H144" s="1">
        <v>85</v>
      </c>
      <c r="I144" s="1">
        <v>44</v>
      </c>
      <c r="J144" s="2">
        <v>0</v>
      </c>
      <c r="K144" t="s">
        <v>647</v>
      </c>
      <c r="L144" t="s">
        <v>648</v>
      </c>
      <c r="M144" t="s">
        <v>672</v>
      </c>
    </row>
    <row r="145" spans="1:13" x14ac:dyDescent="0.3">
      <c r="A145" t="s">
        <v>153</v>
      </c>
      <c r="B145" s="4">
        <v>45669</v>
      </c>
      <c r="C145" t="s">
        <v>575</v>
      </c>
      <c r="D145" t="s">
        <v>602</v>
      </c>
      <c r="E145" t="s">
        <v>637</v>
      </c>
      <c r="F145" t="s">
        <v>641</v>
      </c>
      <c r="G145">
        <v>5</v>
      </c>
      <c r="H145" s="1">
        <v>175</v>
      </c>
      <c r="I145" s="1">
        <v>105</v>
      </c>
      <c r="J145" s="2">
        <v>0.1</v>
      </c>
      <c r="K145" t="s">
        <v>647</v>
      </c>
      <c r="L145" t="s">
        <v>649</v>
      </c>
      <c r="M145" t="s">
        <v>668</v>
      </c>
    </row>
    <row r="146" spans="1:13" x14ac:dyDescent="0.3">
      <c r="A146" t="s">
        <v>154</v>
      </c>
      <c r="B146" s="4">
        <v>46008</v>
      </c>
      <c r="C146" t="s">
        <v>564</v>
      </c>
      <c r="D146" t="s">
        <v>617</v>
      </c>
      <c r="E146" t="s">
        <v>633</v>
      </c>
      <c r="F146" t="s">
        <v>638</v>
      </c>
      <c r="G146">
        <v>3</v>
      </c>
      <c r="H146" s="1">
        <v>210</v>
      </c>
      <c r="I146" s="1">
        <v>125</v>
      </c>
      <c r="J146" s="2">
        <v>0</v>
      </c>
      <c r="K146" t="s">
        <v>645</v>
      </c>
      <c r="L146" t="s">
        <v>651</v>
      </c>
      <c r="M146" t="s">
        <v>657</v>
      </c>
    </row>
    <row r="147" spans="1:13" x14ac:dyDescent="0.3">
      <c r="A147" t="s">
        <v>155</v>
      </c>
      <c r="B147" s="4">
        <v>45716</v>
      </c>
      <c r="C147" t="s">
        <v>564</v>
      </c>
      <c r="D147" t="s">
        <v>623</v>
      </c>
      <c r="E147" t="s">
        <v>632</v>
      </c>
      <c r="F147" t="s">
        <v>639</v>
      </c>
      <c r="G147">
        <v>3</v>
      </c>
      <c r="H147" s="1">
        <v>42</v>
      </c>
      <c r="I147" s="1">
        <v>21</v>
      </c>
      <c r="J147" s="2">
        <v>0.1</v>
      </c>
      <c r="K147" t="s">
        <v>645</v>
      </c>
      <c r="L147" t="s">
        <v>651</v>
      </c>
      <c r="M147" t="s">
        <v>657</v>
      </c>
    </row>
    <row r="148" spans="1:13" x14ac:dyDescent="0.3">
      <c r="A148" t="s">
        <v>156</v>
      </c>
      <c r="B148" s="4">
        <v>45893</v>
      </c>
      <c r="C148" t="s">
        <v>580</v>
      </c>
      <c r="D148" t="s">
        <v>624</v>
      </c>
      <c r="E148" t="s">
        <v>636</v>
      </c>
      <c r="F148" t="s">
        <v>641</v>
      </c>
      <c r="G148">
        <v>3</v>
      </c>
      <c r="H148" s="1">
        <v>245</v>
      </c>
      <c r="I148" s="1">
        <v>150</v>
      </c>
      <c r="J148" s="2">
        <v>0</v>
      </c>
      <c r="K148" t="s">
        <v>642</v>
      </c>
      <c r="L148" t="s">
        <v>648</v>
      </c>
      <c r="M148" t="s">
        <v>672</v>
      </c>
    </row>
    <row r="149" spans="1:13" x14ac:dyDescent="0.3">
      <c r="A149" t="s">
        <v>157</v>
      </c>
      <c r="B149" s="4">
        <v>45805</v>
      </c>
      <c r="C149" t="s">
        <v>564</v>
      </c>
      <c r="D149" t="s">
        <v>605</v>
      </c>
      <c r="E149" t="s">
        <v>628</v>
      </c>
      <c r="F149" t="s">
        <v>639</v>
      </c>
      <c r="G149">
        <v>2</v>
      </c>
      <c r="H149" s="1">
        <v>18</v>
      </c>
      <c r="I149" s="1">
        <v>7</v>
      </c>
      <c r="J149" s="2">
        <v>0.05</v>
      </c>
      <c r="K149" t="s">
        <v>642</v>
      </c>
      <c r="L149" t="s">
        <v>648</v>
      </c>
    </row>
    <row r="150" spans="1:13" x14ac:dyDescent="0.3">
      <c r="A150" t="s">
        <v>158</v>
      </c>
      <c r="B150" s="4">
        <v>45841</v>
      </c>
      <c r="C150" t="s">
        <v>572</v>
      </c>
      <c r="D150" t="s">
        <v>622</v>
      </c>
      <c r="E150" t="s">
        <v>628</v>
      </c>
      <c r="F150" t="s">
        <v>639</v>
      </c>
      <c r="G150">
        <v>5</v>
      </c>
      <c r="H150" s="1">
        <v>18</v>
      </c>
      <c r="I150" s="1">
        <v>7</v>
      </c>
      <c r="J150" s="2">
        <v>0</v>
      </c>
      <c r="K150" t="s">
        <v>643</v>
      </c>
      <c r="L150" t="s">
        <v>650</v>
      </c>
      <c r="M150" t="s">
        <v>665</v>
      </c>
    </row>
    <row r="151" spans="1:13" x14ac:dyDescent="0.3">
      <c r="A151" t="s">
        <v>159</v>
      </c>
      <c r="B151" s="4">
        <v>45959</v>
      </c>
      <c r="C151" t="s">
        <v>563</v>
      </c>
      <c r="D151" t="s">
        <v>622</v>
      </c>
      <c r="E151" t="s">
        <v>634</v>
      </c>
      <c r="F151" t="s">
        <v>641</v>
      </c>
      <c r="G151">
        <v>3</v>
      </c>
      <c r="H151" s="1">
        <v>59</v>
      </c>
      <c r="I151" s="1">
        <v>30</v>
      </c>
      <c r="J151" s="2">
        <v>0.1</v>
      </c>
      <c r="K151" t="s">
        <v>645</v>
      </c>
      <c r="L151" t="s">
        <v>650</v>
      </c>
      <c r="M151" t="s">
        <v>656</v>
      </c>
    </row>
    <row r="152" spans="1:13" x14ac:dyDescent="0.3">
      <c r="A152" t="s">
        <v>160</v>
      </c>
      <c r="B152" s="4">
        <v>45770</v>
      </c>
      <c r="C152" t="s">
        <v>572</v>
      </c>
      <c r="D152" t="s">
        <v>609</v>
      </c>
      <c r="E152" t="s">
        <v>633</v>
      </c>
      <c r="F152" t="s">
        <v>638</v>
      </c>
      <c r="G152">
        <v>5</v>
      </c>
      <c r="H152" s="1">
        <v>210</v>
      </c>
      <c r="I152" s="1">
        <v>125</v>
      </c>
      <c r="J152" s="2">
        <v>0</v>
      </c>
      <c r="K152" t="s">
        <v>643</v>
      </c>
      <c r="L152" t="s">
        <v>648</v>
      </c>
      <c r="M152" t="s">
        <v>665</v>
      </c>
    </row>
    <row r="153" spans="1:13" x14ac:dyDescent="0.3">
      <c r="A153" t="s">
        <v>161</v>
      </c>
      <c r="B153" s="4">
        <v>45951</v>
      </c>
      <c r="C153" t="s">
        <v>580</v>
      </c>
      <c r="D153" t="s">
        <v>618</v>
      </c>
      <c r="E153" t="s">
        <v>632</v>
      </c>
      <c r="F153" t="s">
        <v>639</v>
      </c>
      <c r="G153">
        <v>5</v>
      </c>
      <c r="H153" s="1">
        <v>42</v>
      </c>
      <c r="I153" s="1">
        <v>21</v>
      </c>
      <c r="J153" s="2">
        <v>0.05</v>
      </c>
      <c r="K153" t="s">
        <v>644</v>
      </c>
      <c r="L153" t="s">
        <v>650</v>
      </c>
      <c r="M153" t="s">
        <v>672</v>
      </c>
    </row>
    <row r="154" spans="1:13" x14ac:dyDescent="0.3">
      <c r="A154" t="s">
        <v>162</v>
      </c>
      <c r="B154" s="4">
        <v>45829</v>
      </c>
      <c r="C154" t="s">
        <v>576</v>
      </c>
      <c r="D154" t="s">
        <v>613</v>
      </c>
      <c r="E154" t="s">
        <v>636</v>
      </c>
      <c r="F154" t="s">
        <v>641</v>
      </c>
      <c r="G154">
        <v>3</v>
      </c>
      <c r="H154" s="1">
        <v>245</v>
      </c>
      <c r="I154" s="1">
        <v>150</v>
      </c>
      <c r="J154" s="2">
        <v>0.2</v>
      </c>
      <c r="K154" t="s">
        <v>645</v>
      </c>
      <c r="L154" t="s">
        <v>648</v>
      </c>
      <c r="M154" t="s">
        <v>669</v>
      </c>
    </row>
    <row r="155" spans="1:13" x14ac:dyDescent="0.3">
      <c r="A155" t="s">
        <v>163</v>
      </c>
      <c r="B155" s="4">
        <v>45829</v>
      </c>
      <c r="C155" t="s">
        <v>574</v>
      </c>
      <c r="D155" t="s">
        <v>602</v>
      </c>
      <c r="E155" t="s">
        <v>631</v>
      </c>
      <c r="F155" t="s">
        <v>641</v>
      </c>
      <c r="G155">
        <v>5</v>
      </c>
      <c r="H155" s="1">
        <v>85</v>
      </c>
      <c r="I155" s="1">
        <v>44</v>
      </c>
      <c r="J155" s="2">
        <v>0.05</v>
      </c>
      <c r="K155" t="s">
        <v>642</v>
      </c>
      <c r="L155" t="s">
        <v>648</v>
      </c>
      <c r="M155" t="s">
        <v>660</v>
      </c>
    </row>
    <row r="156" spans="1:13" x14ac:dyDescent="0.3">
      <c r="A156" t="s">
        <v>164</v>
      </c>
      <c r="B156" s="4">
        <v>45780</v>
      </c>
      <c r="C156" t="s">
        <v>568</v>
      </c>
      <c r="D156" t="s">
        <v>616</v>
      </c>
      <c r="E156" t="s">
        <v>635</v>
      </c>
      <c r="F156" t="s">
        <v>639</v>
      </c>
      <c r="G156">
        <v>4</v>
      </c>
      <c r="H156" s="1">
        <v>65</v>
      </c>
      <c r="I156" s="1">
        <v>31</v>
      </c>
      <c r="J156" s="2">
        <v>0</v>
      </c>
      <c r="K156" t="s">
        <v>647</v>
      </c>
      <c r="L156" t="s">
        <v>649</v>
      </c>
      <c r="M156" t="s">
        <v>666</v>
      </c>
    </row>
    <row r="157" spans="1:13" x14ac:dyDescent="0.3">
      <c r="A157" t="s">
        <v>165</v>
      </c>
      <c r="B157" s="4">
        <v>45873</v>
      </c>
      <c r="C157" t="s">
        <v>591</v>
      </c>
      <c r="D157" t="s">
        <v>620</v>
      </c>
      <c r="E157" t="s">
        <v>631</v>
      </c>
      <c r="F157" t="s">
        <v>641</v>
      </c>
      <c r="G157">
        <v>1</v>
      </c>
      <c r="H157" s="1">
        <v>85</v>
      </c>
      <c r="I157" s="1">
        <v>44</v>
      </c>
      <c r="J157" s="2">
        <v>0.1</v>
      </c>
      <c r="K157" t="s">
        <v>644</v>
      </c>
      <c r="L157" t="s">
        <v>651</v>
      </c>
      <c r="M157" t="s">
        <v>675</v>
      </c>
    </row>
    <row r="158" spans="1:13" x14ac:dyDescent="0.3">
      <c r="A158" t="s">
        <v>166</v>
      </c>
      <c r="B158" s="4">
        <v>45955</v>
      </c>
      <c r="C158" t="s">
        <v>568</v>
      </c>
      <c r="D158" t="s">
        <v>620</v>
      </c>
      <c r="E158" t="s">
        <v>637</v>
      </c>
      <c r="F158" t="s">
        <v>641</v>
      </c>
      <c r="G158">
        <v>2</v>
      </c>
      <c r="H158" s="1">
        <v>175</v>
      </c>
      <c r="I158" s="1">
        <v>105</v>
      </c>
      <c r="J158" s="2">
        <v>0.05</v>
      </c>
      <c r="K158" t="s">
        <v>643</v>
      </c>
      <c r="L158" t="s">
        <v>649</v>
      </c>
      <c r="M158" t="s">
        <v>666</v>
      </c>
    </row>
    <row r="159" spans="1:13" x14ac:dyDescent="0.3">
      <c r="A159" t="s">
        <v>167</v>
      </c>
      <c r="B159" s="4">
        <v>45769</v>
      </c>
      <c r="C159" t="s">
        <v>567</v>
      </c>
      <c r="D159" t="s">
        <v>617</v>
      </c>
      <c r="E159" t="s">
        <v>629</v>
      </c>
      <c r="F159" t="s">
        <v>640</v>
      </c>
      <c r="G159">
        <v>1</v>
      </c>
      <c r="H159" s="1">
        <v>92</v>
      </c>
      <c r="I159" s="1">
        <v>53</v>
      </c>
      <c r="J159" s="2">
        <v>0.05</v>
      </c>
      <c r="K159" t="s">
        <v>646</v>
      </c>
      <c r="L159" t="s">
        <v>651</v>
      </c>
      <c r="M159" t="s">
        <v>660</v>
      </c>
    </row>
    <row r="160" spans="1:13" x14ac:dyDescent="0.3">
      <c r="A160" t="s">
        <v>168</v>
      </c>
      <c r="B160" s="4">
        <v>45833</v>
      </c>
      <c r="C160" t="s">
        <v>564</v>
      </c>
      <c r="E160" t="s">
        <v>628</v>
      </c>
      <c r="F160" t="s">
        <v>639</v>
      </c>
      <c r="G160">
        <v>1</v>
      </c>
      <c r="H160" s="1">
        <v>18</v>
      </c>
      <c r="I160" s="1">
        <v>7</v>
      </c>
      <c r="J160" s="2">
        <v>0</v>
      </c>
      <c r="K160" t="s">
        <v>643</v>
      </c>
      <c r="L160" t="s">
        <v>648</v>
      </c>
      <c r="M160" t="s">
        <v>657</v>
      </c>
    </row>
    <row r="161" spans="1:13" x14ac:dyDescent="0.3">
      <c r="A161" t="s">
        <v>169</v>
      </c>
      <c r="B161" s="4">
        <v>45695</v>
      </c>
      <c r="C161" t="s">
        <v>577</v>
      </c>
      <c r="D161" t="s">
        <v>606</v>
      </c>
      <c r="E161" t="s">
        <v>635</v>
      </c>
      <c r="F161" t="s">
        <v>639</v>
      </c>
      <c r="G161">
        <v>1</v>
      </c>
      <c r="H161" s="1">
        <v>65</v>
      </c>
      <c r="I161" s="1">
        <v>31</v>
      </c>
      <c r="J161" s="2">
        <v>0.15</v>
      </c>
      <c r="K161" t="s">
        <v>646</v>
      </c>
      <c r="L161" t="s">
        <v>649</v>
      </c>
      <c r="M161" t="s">
        <v>670</v>
      </c>
    </row>
    <row r="162" spans="1:13" x14ac:dyDescent="0.3">
      <c r="A162" t="s">
        <v>170</v>
      </c>
      <c r="B162" s="4">
        <v>45978</v>
      </c>
      <c r="C162" t="s">
        <v>569</v>
      </c>
      <c r="D162" t="s">
        <v>605</v>
      </c>
      <c r="E162" t="s">
        <v>633</v>
      </c>
      <c r="F162" t="s">
        <v>638</v>
      </c>
      <c r="G162">
        <v>1</v>
      </c>
      <c r="H162" s="1">
        <v>210</v>
      </c>
      <c r="I162" s="1">
        <v>125</v>
      </c>
      <c r="J162" s="2">
        <v>0.1</v>
      </c>
      <c r="K162" t="s">
        <v>647</v>
      </c>
      <c r="L162" t="s">
        <v>651</v>
      </c>
      <c r="M162" t="s">
        <v>662</v>
      </c>
    </row>
    <row r="163" spans="1:13" x14ac:dyDescent="0.3">
      <c r="A163" t="s">
        <v>171</v>
      </c>
      <c r="B163" s="4">
        <v>45700</v>
      </c>
      <c r="C163" t="s">
        <v>586</v>
      </c>
      <c r="D163" t="s">
        <v>625</v>
      </c>
      <c r="E163" t="s">
        <v>629</v>
      </c>
      <c r="F163" t="s">
        <v>640</v>
      </c>
      <c r="G163">
        <v>2</v>
      </c>
      <c r="H163" s="1">
        <v>92</v>
      </c>
      <c r="I163" s="1">
        <v>53</v>
      </c>
      <c r="J163" s="2">
        <v>0</v>
      </c>
      <c r="K163" t="s">
        <v>646</v>
      </c>
      <c r="L163" t="s">
        <v>650</v>
      </c>
      <c r="M163" t="s">
        <v>671</v>
      </c>
    </row>
    <row r="164" spans="1:13" x14ac:dyDescent="0.3">
      <c r="A164" t="s">
        <v>172</v>
      </c>
      <c r="B164" s="4">
        <v>45904</v>
      </c>
      <c r="C164" t="s">
        <v>568</v>
      </c>
      <c r="D164" t="s">
        <v>603</v>
      </c>
      <c r="E164" t="s">
        <v>633</v>
      </c>
      <c r="F164" t="s">
        <v>638</v>
      </c>
      <c r="G164">
        <v>2</v>
      </c>
      <c r="H164" s="1">
        <v>210</v>
      </c>
      <c r="I164" s="1">
        <v>125</v>
      </c>
      <c r="J164" s="2">
        <v>0.1</v>
      </c>
      <c r="K164" t="s">
        <v>644</v>
      </c>
      <c r="L164" t="s">
        <v>650</v>
      </c>
      <c r="M164" t="s">
        <v>666</v>
      </c>
    </row>
    <row r="165" spans="1:13" x14ac:dyDescent="0.3">
      <c r="A165" t="s">
        <v>173</v>
      </c>
      <c r="B165" s="4">
        <v>45895</v>
      </c>
      <c r="C165" t="s">
        <v>580</v>
      </c>
      <c r="D165" t="s">
        <v>624</v>
      </c>
      <c r="E165" t="s">
        <v>627</v>
      </c>
      <c r="F165" t="s">
        <v>639</v>
      </c>
      <c r="G165">
        <v>3</v>
      </c>
      <c r="H165" s="1">
        <v>38</v>
      </c>
      <c r="I165" s="1">
        <v>17</v>
      </c>
      <c r="J165" s="2">
        <v>0.1</v>
      </c>
      <c r="K165" t="s">
        <v>646</v>
      </c>
      <c r="L165" t="s">
        <v>649</v>
      </c>
      <c r="M165" t="s">
        <v>672</v>
      </c>
    </row>
    <row r="166" spans="1:13" x14ac:dyDescent="0.3">
      <c r="A166" t="s">
        <v>174</v>
      </c>
      <c r="B166" s="4">
        <v>45832</v>
      </c>
      <c r="C166" t="s">
        <v>566</v>
      </c>
      <c r="D166" t="s">
        <v>611</v>
      </c>
      <c r="E166" t="s">
        <v>635</v>
      </c>
      <c r="F166" t="s">
        <v>639</v>
      </c>
      <c r="G166">
        <v>3</v>
      </c>
      <c r="H166" s="1">
        <v>65</v>
      </c>
      <c r="I166" s="1">
        <v>31</v>
      </c>
      <c r="J166" s="2">
        <v>0.15</v>
      </c>
      <c r="K166" t="s">
        <v>643</v>
      </c>
      <c r="L166" t="s">
        <v>651</v>
      </c>
      <c r="M166" t="s">
        <v>659</v>
      </c>
    </row>
    <row r="167" spans="1:13" x14ac:dyDescent="0.3">
      <c r="A167" t="s">
        <v>175</v>
      </c>
      <c r="B167" s="4">
        <v>45705</v>
      </c>
      <c r="C167" t="s">
        <v>580</v>
      </c>
      <c r="D167" t="s">
        <v>616</v>
      </c>
      <c r="E167" t="s">
        <v>628</v>
      </c>
      <c r="F167" t="s">
        <v>639</v>
      </c>
      <c r="G167">
        <v>4</v>
      </c>
      <c r="H167" s="1">
        <v>18</v>
      </c>
      <c r="I167" s="1">
        <v>7</v>
      </c>
      <c r="J167" s="2">
        <v>0.05</v>
      </c>
      <c r="K167" t="s">
        <v>646</v>
      </c>
      <c r="L167" t="s">
        <v>648</v>
      </c>
      <c r="M167" t="s">
        <v>672</v>
      </c>
    </row>
    <row r="168" spans="1:13" x14ac:dyDescent="0.3">
      <c r="A168" t="s">
        <v>176</v>
      </c>
      <c r="B168" s="4">
        <v>45849</v>
      </c>
      <c r="C168" t="s">
        <v>564</v>
      </c>
      <c r="D168" t="s">
        <v>620</v>
      </c>
      <c r="E168" t="s">
        <v>629</v>
      </c>
      <c r="F168" t="s">
        <v>640</v>
      </c>
      <c r="G168">
        <v>4</v>
      </c>
      <c r="H168" s="1">
        <v>92</v>
      </c>
      <c r="I168" s="1">
        <v>53</v>
      </c>
      <c r="J168" s="2">
        <v>0</v>
      </c>
      <c r="K168" t="s">
        <v>642</v>
      </c>
      <c r="L168" t="s">
        <v>650</v>
      </c>
      <c r="M168" t="s">
        <v>679</v>
      </c>
    </row>
    <row r="169" spans="1:13" x14ac:dyDescent="0.3">
      <c r="A169" t="s">
        <v>177</v>
      </c>
      <c r="B169" s="4">
        <v>45840</v>
      </c>
      <c r="C169" t="s">
        <v>572</v>
      </c>
      <c r="D169" t="s">
        <v>605</v>
      </c>
      <c r="E169" t="s">
        <v>637</v>
      </c>
      <c r="F169" t="s">
        <v>641</v>
      </c>
      <c r="G169">
        <v>2</v>
      </c>
      <c r="H169" s="1">
        <v>175</v>
      </c>
      <c r="I169" s="1">
        <v>105</v>
      </c>
      <c r="J169" s="2">
        <v>0.15</v>
      </c>
      <c r="K169" t="s">
        <v>642</v>
      </c>
      <c r="L169" t="s">
        <v>648</v>
      </c>
      <c r="M169" t="s">
        <v>665</v>
      </c>
    </row>
    <row r="170" spans="1:13" x14ac:dyDescent="0.3">
      <c r="A170" t="s">
        <v>178</v>
      </c>
      <c r="B170" s="4">
        <v>45851</v>
      </c>
      <c r="C170" t="s">
        <v>567</v>
      </c>
      <c r="D170" t="s">
        <v>613</v>
      </c>
      <c r="E170" t="s">
        <v>627</v>
      </c>
      <c r="F170" t="s">
        <v>639</v>
      </c>
      <c r="G170">
        <v>1</v>
      </c>
      <c r="H170" s="1">
        <v>38</v>
      </c>
      <c r="I170" s="1">
        <v>17</v>
      </c>
      <c r="J170" s="2">
        <v>0.05</v>
      </c>
      <c r="K170" t="s">
        <v>644</v>
      </c>
      <c r="L170" t="s">
        <v>648</v>
      </c>
      <c r="M170" t="s">
        <v>660</v>
      </c>
    </row>
    <row r="171" spans="1:13" x14ac:dyDescent="0.3">
      <c r="A171" t="s">
        <v>179</v>
      </c>
      <c r="B171" s="4">
        <v>45783</v>
      </c>
      <c r="C171" t="s">
        <v>582</v>
      </c>
      <c r="D171" t="s">
        <v>607</v>
      </c>
      <c r="E171" t="s">
        <v>627</v>
      </c>
      <c r="F171" t="s">
        <v>639</v>
      </c>
      <c r="G171">
        <v>5</v>
      </c>
      <c r="H171" s="1">
        <v>38</v>
      </c>
      <c r="I171" s="1">
        <v>17</v>
      </c>
      <c r="J171" s="2">
        <v>0</v>
      </c>
      <c r="K171" t="s">
        <v>644</v>
      </c>
      <c r="L171" t="s">
        <v>648</v>
      </c>
      <c r="M171" t="s">
        <v>658</v>
      </c>
    </row>
    <row r="172" spans="1:13" x14ac:dyDescent="0.3">
      <c r="A172" t="s">
        <v>180</v>
      </c>
      <c r="B172" s="4">
        <v>45773</v>
      </c>
      <c r="C172" t="s">
        <v>576</v>
      </c>
      <c r="D172" t="s">
        <v>603</v>
      </c>
      <c r="E172" t="s">
        <v>635</v>
      </c>
      <c r="F172" t="s">
        <v>639</v>
      </c>
      <c r="G172">
        <v>2</v>
      </c>
      <c r="H172" s="1">
        <v>65</v>
      </c>
      <c r="I172" s="1">
        <v>31</v>
      </c>
      <c r="J172" s="2">
        <v>0</v>
      </c>
      <c r="K172" t="s">
        <v>646</v>
      </c>
      <c r="L172" t="s">
        <v>648</v>
      </c>
      <c r="M172" t="s">
        <v>669</v>
      </c>
    </row>
    <row r="173" spans="1:13" x14ac:dyDescent="0.3">
      <c r="A173" t="s">
        <v>181</v>
      </c>
      <c r="B173" s="4">
        <v>45678</v>
      </c>
      <c r="C173" t="s">
        <v>580</v>
      </c>
      <c r="D173" t="s">
        <v>616</v>
      </c>
      <c r="E173" t="s">
        <v>632</v>
      </c>
      <c r="F173" t="s">
        <v>639</v>
      </c>
      <c r="G173">
        <v>2</v>
      </c>
      <c r="H173" s="1">
        <v>42</v>
      </c>
      <c r="I173" s="1">
        <v>21</v>
      </c>
      <c r="J173" s="2">
        <v>0</v>
      </c>
      <c r="K173" t="s">
        <v>645</v>
      </c>
      <c r="L173" t="s">
        <v>651</v>
      </c>
      <c r="M173" t="s">
        <v>672</v>
      </c>
    </row>
    <row r="174" spans="1:13" x14ac:dyDescent="0.3">
      <c r="A174" t="s">
        <v>182</v>
      </c>
      <c r="B174" s="4">
        <v>45777</v>
      </c>
      <c r="C174" t="s">
        <v>573</v>
      </c>
      <c r="D174" t="s">
        <v>609</v>
      </c>
      <c r="E174" t="s">
        <v>636</v>
      </c>
      <c r="F174" t="s">
        <v>641</v>
      </c>
      <c r="G174">
        <v>4</v>
      </c>
      <c r="H174" s="1">
        <v>245</v>
      </c>
      <c r="I174" s="1">
        <v>150</v>
      </c>
      <c r="J174" s="2">
        <v>0.15</v>
      </c>
      <c r="K174" t="s">
        <v>645</v>
      </c>
      <c r="L174" t="s">
        <v>649</v>
      </c>
      <c r="M174" t="s">
        <v>680</v>
      </c>
    </row>
    <row r="175" spans="1:13" x14ac:dyDescent="0.3">
      <c r="A175" t="s">
        <v>183</v>
      </c>
      <c r="B175" s="4">
        <v>45907</v>
      </c>
      <c r="C175" t="s">
        <v>592</v>
      </c>
      <c r="D175" t="s">
        <v>619</v>
      </c>
      <c r="E175" t="s">
        <v>636</v>
      </c>
      <c r="F175" t="s">
        <v>641</v>
      </c>
      <c r="G175">
        <v>2</v>
      </c>
      <c r="H175" s="1">
        <v>245</v>
      </c>
      <c r="I175" s="1">
        <v>150</v>
      </c>
      <c r="J175" s="2">
        <v>0</v>
      </c>
      <c r="K175" t="s">
        <v>642</v>
      </c>
      <c r="L175" t="s">
        <v>648</v>
      </c>
      <c r="M175" t="s">
        <v>657</v>
      </c>
    </row>
    <row r="176" spans="1:13" x14ac:dyDescent="0.3">
      <c r="A176" t="s">
        <v>184</v>
      </c>
      <c r="B176" s="4">
        <v>45680</v>
      </c>
      <c r="C176" t="s">
        <v>563</v>
      </c>
      <c r="D176" t="s">
        <v>610</v>
      </c>
      <c r="E176" t="s">
        <v>637</v>
      </c>
      <c r="F176" t="s">
        <v>641</v>
      </c>
      <c r="G176">
        <v>4</v>
      </c>
      <c r="H176" s="1">
        <v>175</v>
      </c>
      <c r="I176" s="1">
        <v>105</v>
      </c>
      <c r="J176" s="2">
        <v>0.1</v>
      </c>
      <c r="K176" t="s">
        <v>643</v>
      </c>
      <c r="L176" t="s">
        <v>650</v>
      </c>
      <c r="M176" t="s">
        <v>656</v>
      </c>
    </row>
    <row r="177" spans="1:13" x14ac:dyDescent="0.3">
      <c r="A177" t="s">
        <v>185</v>
      </c>
      <c r="B177" s="4">
        <v>45830</v>
      </c>
      <c r="C177" t="s">
        <v>570</v>
      </c>
      <c r="D177" t="s">
        <v>621</v>
      </c>
      <c r="E177" t="s">
        <v>631</v>
      </c>
      <c r="F177" t="s">
        <v>641</v>
      </c>
      <c r="G177">
        <v>3</v>
      </c>
      <c r="H177" s="1">
        <v>85</v>
      </c>
      <c r="I177" s="1">
        <v>44</v>
      </c>
      <c r="J177" s="2">
        <v>0.05</v>
      </c>
      <c r="K177" t="s">
        <v>643</v>
      </c>
      <c r="L177" t="s">
        <v>648</v>
      </c>
      <c r="M177" t="s">
        <v>663</v>
      </c>
    </row>
    <row r="178" spans="1:13" x14ac:dyDescent="0.3">
      <c r="A178" t="s">
        <v>186</v>
      </c>
      <c r="B178" s="4">
        <v>45744</v>
      </c>
      <c r="C178" t="s">
        <v>575</v>
      </c>
      <c r="D178" t="s">
        <v>621</v>
      </c>
      <c r="E178" t="s">
        <v>631</v>
      </c>
      <c r="F178" t="s">
        <v>641</v>
      </c>
      <c r="G178">
        <v>5</v>
      </c>
      <c r="H178" s="1">
        <v>85</v>
      </c>
      <c r="I178" s="1">
        <v>44</v>
      </c>
      <c r="J178" s="2">
        <v>0.05</v>
      </c>
      <c r="K178" t="s">
        <v>646</v>
      </c>
      <c r="L178" t="s">
        <v>648</v>
      </c>
      <c r="M178" t="s">
        <v>668</v>
      </c>
    </row>
    <row r="179" spans="1:13" x14ac:dyDescent="0.3">
      <c r="A179" t="s">
        <v>187</v>
      </c>
      <c r="B179" s="4">
        <v>46022</v>
      </c>
      <c r="C179" t="s">
        <v>584</v>
      </c>
      <c r="D179" t="s">
        <v>603</v>
      </c>
      <c r="E179" t="s">
        <v>632</v>
      </c>
      <c r="F179" t="s">
        <v>639</v>
      </c>
      <c r="G179">
        <v>3</v>
      </c>
      <c r="H179" s="1">
        <v>42</v>
      </c>
      <c r="I179" s="1">
        <v>21</v>
      </c>
      <c r="J179" s="2">
        <v>0</v>
      </c>
      <c r="K179" t="s">
        <v>643</v>
      </c>
      <c r="L179" t="s">
        <v>648</v>
      </c>
      <c r="M179" t="s">
        <v>675</v>
      </c>
    </row>
    <row r="180" spans="1:13" x14ac:dyDescent="0.3">
      <c r="A180" t="s">
        <v>188</v>
      </c>
      <c r="B180" s="4">
        <v>45743</v>
      </c>
      <c r="C180" t="s">
        <v>576</v>
      </c>
      <c r="D180" t="s">
        <v>615</v>
      </c>
      <c r="E180" t="s">
        <v>634</v>
      </c>
      <c r="F180" t="s">
        <v>641</v>
      </c>
      <c r="G180">
        <v>3</v>
      </c>
      <c r="H180" s="1">
        <v>59</v>
      </c>
      <c r="I180" s="1">
        <v>30</v>
      </c>
      <c r="J180" s="2">
        <v>0</v>
      </c>
      <c r="K180" t="s">
        <v>642</v>
      </c>
      <c r="L180" t="s">
        <v>653</v>
      </c>
      <c r="M180" t="s">
        <v>669</v>
      </c>
    </row>
    <row r="181" spans="1:13" x14ac:dyDescent="0.3">
      <c r="A181" t="s">
        <v>189</v>
      </c>
      <c r="B181" s="4">
        <v>45797</v>
      </c>
      <c r="C181" t="s">
        <v>582</v>
      </c>
      <c r="D181" t="s">
        <v>601</v>
      </c>
      <c r="E181" t="s">
        <v>631</v>
      </c>
      <c r="F181" t="s">
        <v>641</v>
      </c>
      <c r="G181">
        <v>4</v>
      </c>
      <c r="H181" s="1">
        <v>85</v>
      </c>
      <c r="I181" s="1">
        <v>44</v>
      </c>
      <c r="J181" s="2">
        <v>0.05</v>
      </c>
      <c r="K181" t="s">
        <v>644</v>
      </c>
      <c r="L181" t="s">
        <v>648</v>
      </c>
      <c r="M181" t="s">
        <v>658</v>
      </c>
    </row>
    <row r="182" spans="1:13" x14ac:dyDescent="0.3">
      <c r="A182" t="s">
        <v>190</v>
      </c>
      <c r="B182" s="4">
        <v>45918</v>
      </c>
      <c r="C182" t="s">
        <v>573</v>
      </c>
      <c r="D182" t="s">
        <v>621</v>
      </c>
      <c r="E182" t="s">
        <v>633</v>
      </c>
      <c r="F182" t="s">
        <v>638</v>
      </c>
      <c r="G182">
        <v>1</v>
      </c>
      <c r="H182" s="1">
        <v>210</v>
      </c>
      <c r="I182" s="1">
        <v>125</v>
      </c>
      <c r="J182" s="2">
        <v>0.1</v>
      </c>
      <c r="K182" t="s">
        <v>644</v>
      </c>
      <c r="L182" t="s">
        <v>648</v>
      </c>
      <c r="M182" t="s">
        <v>667</v>
      </c>
    </row>
    <row r="183" spans="1:13" x14ac:dyDescent="0.3">
      <c r="A183" t="s">
        <v>191</v>
      </c>
      <c r="B183" s="4">
        <v>45720</v>
      </c>
      <c r="C183" t="s">
        <v>584</v>
      </c>
      <c r="D183" t="s">
        <v>615</v>
      </c>
      <c r="E183" t="s">
        <v>632</v>
      </c>
      <c r="F183" t="s">
        <v>639</v>
      </c>
      <c r="G183">
        <v>2</v>
      </c>
      <c r="H183" s="1">
        <v>42</v>
      </c>
      <c r="I183" s="1">
        <v>21</v>
      </c>
      <c r="J183" s="2">
        <v>0.1</v>
      </c>
      <c r="K183" t="s">
        <v>645</v>
      </c>
      <c r="L183" t="s">
        <v>648</v>
      </c>
      <c r="M183" t="s">
        <v>675</v>
      </c>
    </row>
    <row r="184" spans="1:13" x14ac:dyDescent="0.3">
      <c r="A184" t="s">
        <v>192</v>
      </c>
      <c r="B184" s="4">
        <v>45939</v>
      </c>
      <c r="C184" t="s">
        <v>575</v>
      </c>
      <c r="D184" t="s">
        <v>622</v>
      </c>
      <c r="E184" t="s">
        <v>627</v>
      </c>
      <c r="F184" t="s">
        <v>639</v>
      </c>
      <c r="G184">
        <v>4</v>
      </c>
      <c r="H184" s="1">
        <v>38</v>
      </c>
      <c r="I184" s="1">
        <v>17</v>
      </c>
      <c r="J184" s="2">
        <v>0.05</v>
      </c>
      <c r="K184" t="s">
        <v>644</v>
      </c>
      <c r="L184" t="s">
        <v>648</v>
      </c>
      <c r="M184" t="s">
        <v>681</v>
      </c>
    </row>
    <row r="185" spans="1:13" x14ac:dyDescent="0.3">
      <c r="A185" t="s">
        <v>193</v>
      </c>
      <c r="B185" s="4">
        <v>45943</v>
      </c>
      <c r="C185" t="s">
        <v>578</v>
      </c>
      <c r="D185" t="s">
        <v>610</v>
      </c>
      <c r="E185" t="s">
        <v>636</v>
      </c>
      <c r="F185" t="s">
        <v>641</v>
      </c>
      <c r="G185">
        <v>5</v>
      </c>
      <c r="H185" s="1">
        <v>245</v>
      </c>
      <c r="I185" s="1">
        <v>150</v>
      </c>
      <c r="J185" s="2">
        <v>0.1</v>
      </c>
      <c r="K185" t="s">
        <v>646</v>
      </c>
      <c r="L185" t="s">
        <v>650</v>
      </c>
      <c r="M185" t="s">
        <v>671</v>
      </c>
    </row>
    <row r="186" spans="1:13" x14ac:dyDescent="0.3">
      <c r="A186" t="s">
        <v>194</v>
      </c>
      <c r="B186" s="4">
        <v>45751</v>
      </c>
      <c r="C186" t="s">
        <v>572</v>
      </c>
      <c r="D186" t="s">
        <v>611</v>
      </c>
      <c r="E186" t="s">
        <v>634</v>
      </c>
      <c r="F186" t="s">
        <v>641</v>
      </c>
      <c r="G186">
        <v>4</v>
      </c>
      <c r="H186" s="1">
        <v>59</v>
      </c>
      <c r="I186" s="1">
        <v>30</v>
      </c>
      <c r="J186" s="2">
        <v>0</v>
      </c>
      <c r="K186" t="s">
        <v>643</v>
      </c>
      <c r="L186" t="s">
        <v>648</v>
      </c>
      <c r="M186" t="s">
        <v>665</v>
      </c>
    </row>
    <row r="187" spans="1:13" x14ac:dyDescent="0.3">
      <c r="A187" t="s">
        <v>195</v>
      </c>
      <c r="B187" s="4">
        <v>45956</v>
      </c>
      <c r="C187" t="s">
        <v>568</v>
      </c>
      <c r="D187" t="s">
        <v>622</v>
      </c>
      <c r="E187" t="s">
        <v>628</v>
      </c>
      <c r="F187" t="s">
        <v>639</v>
      </c>
      <c r="G187">
        <v>2</v>
      </c>
      <c r="H187" s="1">
        <v>18</v>
      </c>
      <c r="I187" s="1">
        <v>7</v>
      </c>
      <c r="J187" s="2">
        <v>0.15</v>
      </c>
      <c r="K187" t="s">
        <v>646</v>
      </c>
      <c r="L187" t="s">
        <v>649</v>
      </c>
      <c r="M187" t="s">
        <v>661</v>
      </c>
    </row>
    <row r="188" spans="1:13" x14ac:dyDescent="0.3">
      <c r="A188" t="s">
        <v>196</v>
      </c>
      <c r="B188" s="4">
        <v>45966</v>
      </c>
      <c r="C188" t="s">
        <v>564</v>
      </c>
      <c r="D188" t="s">
        <v>599</v>
      </c>
      <c r="E188" t="s">
        <v>627</v>
      </c>
      <c r="F188" t="s">
        <v>639</v>
      </c>
      <c r="G188">
        <v>1</v>
      </c>
      <c r="H188" s="1">
        <v>38</v>
      </c>
      <c r="I188" s="1">
        <v>17</v>
      </c>
      <c r="J188" s="2">
        <v>0</v>
      </c>
      <c r="K188" t="s">
        <v>644</v>
      </c>
      <c r="L188" t="s">
        <v>648</v>
      </c>
      <c r="M188" t="s">
        <v>657</v>
      </c>
    </row>
    <row r="189" spans="1:13" x14ac:dyDescent="0.3">
      <c r="A189" t="s">
        <v>197</v>
      </c>
      <c r="B189" s="4">
        <v>45717</v>
      </c>
      <c r="C189" t="s">
        <v>582</v>
      </c>
      <c r="D189" t="s">
        <v>601</v>
      </c>
      <c r="E189" t="s">
        <v>629</v>
      </c>
      <c r="F189" t="s">
        <v>640</v>
      </c>
      <c r="G189">
        <v>4</v>
      </c>
      <c r="H189" s="1">
        <v>92</v>
      </c>
      <c r="I189" s="1">
        <v>53</v>
      </c>
      <c r="J189" s="2">
        <v>0</v>
      </c>
      <c r="K189" t="s">
        <v>645</v>
      </c>
      <c r="L189" t="s">
        <v>650</v>
      </c>
      <c r="M189" t="s">
        <v>658</v>
      </c>
    </row>
    <row r="190" spans="1:13" x14ac:dyDescent="0.3">
      <c r="A190" t="s">
        <v>198</v>
      </c>
      <c r="B190" s="4">
        <v>45905</v>
      </c>
      <c r="C190" t="s">
        <v>585</v>
      </c>
      <c r="D190" t="s">
        <v>617</v>
      </c>
      <c r="E190" t="s">
        <v>633</v>
      </c>
      <c r="F190" t="s">
        <v>638</v>
      </c>
      <c r="G190">
        <v>1</v>
      </c>
      <c r="H190" s="1">
        <v>210</v>
      </c>
      <c r="I190" s="1">
        <v>125</v>
      </c>
      <c r="J190" s="2">
        <v>0.05</v>
      </c>
      <c r="K190" t="s">
        <v>645</v>
      </c>
      <c r="L190" t="s">
        <v>649</v>
      </c>
      <c r="M190" t="s">
        <v>672</v>
      </c>
    </row>
    <row r="191" spans="1:13" x14ac:dyDescent="0.3">
      <c r="A191" t="s">
        <v>199</v>
      </c>
      <c r="B191" s="4">
        <v>45845</v>
      </c>
      <c r="C191" t="s">
        <v>593</v>
      </c>
      <c r="D191" t="s">
        <v>620</v>
      </c>
      <c r="E191" t="s">
        <v>627</v>
      </c>
      <c r="F191" t="s">
        <v>639</v>
      </c>
      <c r="G191">
        <v>4</v>
      </c>
      <c r="H191" s="1">
        <v>38</v>
      </c>
      <c r="I191" s="1">
        <v>17</v>
      </c>
      <c r="J191" s="2">
        <v>0.05</v>
      </c>
      <c r="K191" t="s">
        <v>642</v>
      </c>
      <c r="L191" t="s">
        <v>648</v>
      </c>
      <c r="M191" t="s">
        <v>667</v>
      </c>
    </row>
    <row r="192" spans="1:13" x14ac:dyDescent="0.3">
      <c r="A192" t="s">
        <v>200</v>
      </c>
      <c r="B192" s="4">
        <v>45733</v>
      </c>
      <c r="C192" t="s">
        <v>573</v>
      </c>
      <c r="D192" t="s">
        <v>621</v>
      </c>
      <c r="E192" t="s">
        <v>637</v>
      </c>
      <c r="F192" t="s">
        <v>641</v>
      </c>
      <c r="G192">
        <v>5</v>
      </c>
      <c r="H192" s="1">
        <v>175</v>
      </c>
      <c r="I192" s="1">
        <v>105</v>
      </c>
      <c r="J192" s="2">
        <v>0.2</v>
      </c>
      <c r="K192" t="s">
        <v>647</v>
      </c>
      <c r="L192" t="s">
        <v>649</v>
      </c>
      <c r="M192" t="s">
        <v>667</v>
      </c>
    </row>
    <row r="193" spans="1:13" x14ac:dyDescent="0.3">
      <c r="A193" t="s">
        <v>201</v>
      </c>
      <c r="B193" s="4">
        <v>45706</v>
      </c>
      <c r="C193" t="s">
        <v>580</v>
      </c>
      <c r="D193" t="s">
        <v>619</v>
      </c>
      <c r="E193" t="s">
        <v>632</v>
      </c>
      <c r="F193" t="s">
        <v>639</v>
      </c>
      <c r="G193">
        <v>3</v>
      </c>
      <c r="H193" s="1">
        <v>42</v>
      </c>
      <c r="I193" s="1">
        <v>21</v>
      </c>
      <c r="J193" s="2">
        <v>0.05</v>
      </c>
      <c r="K193" t="s">
        <v>647</v>
      </c>
      <c r="L193" t="s">
        <v>649</v>
      </c>
      <c r="M193" t="s">
        <v>672</v>
      </c>
    </row>
    <row r="194" spans="1:13" x14ac:dyDescent="0.3">
      <c r="A194" t="s">
        <v>202</v>
      </c>
      <c r="B194" s="4">
        <v>45972</v>
      </c>
      <c r="C194" t="s">
        <v>576</v>
      </c>
      <c r="D194" t="s">
        <v>622</v>
      </c>
      <c r="E194" t="s">
        <v>637</v>
      </c>
      <c r="F194" t="s">
        <v>641</v>
      </c>
      <c r="G194">
        <v>5</v>
      </c>
      <c r="H194" s="1">
        <v>175</v>
      </c>
      <c r="I194" s="1">
        <v>105</v>
      </c>
      <c r="J194" s="2">
        <v>0.1</v>
      </c>
      <c r="K194" t="s">
        <v>644</v>
      </c>
      <c r="L194" t="s">
        <v>650</v>
      </c>
      <c r="M194" t="s">
        <v>669</v>
      </c>
    </row>
    <row r="195" spans="1:13" x14ac:dyDescent="0.3">
      <c r="A195" t="s">
        <v>203</v>
      </c>
      <c r="B195" s="4">
        <v>45944</v>
      </c>
      <c r="C195" t="s">
        <v>589</v>
      </c>
      <c r="D195" t="s">
        <v>602</v>
      </c>
      <c r="E195" t="s">
        <v>633</v>
      </c>
      <c r="F195" t="s">
        <v>638</v>
      </c>
      <c r="G195">
        <v>3</v>
      </c>
      <c r="H195" s="1">
        <v>210</v>
      </c>
      <c r="I195" s="1">
        <v>125</v>
      </c>
      <c r="J195" s="2">
        <v>0</v>
      </c>
      <c r="K195" t="s">
        <v>647</v>
      </c>
      <c r="L195" t="s">
        <v>648</v>
      </c>
      <c r="M195" t="s">
        <v>666</v>
      </c>
    </row>
    <row r="196" spans="1:13" x14ac:dyDescent="0.3">
      <c r="A196" t="s">
        <v>204</v>
      </c>
      <c r="B196" s="4">
        <v>45849</v>
      </c>
      <c r="C196" t="s">
        <v>582</v>
      </c>
      <c r="D196" t="s">
        <v>619</v>
      </c>
      <c r="E196" t="s">
        <v>631</v>
      </c>
      <c r="F196" t="s">
        <v>641</v>
      </c>
      <c r="G196">
        <v>1</v>
      </c>
      <c r="H196" s="1">
        <v>85</v>
      </c>
      <c r="I196" s="1">
        <v>44</v>
      </c>
      <c r="J196" s="2">
        <v>0.1</v>
      </c>
      <c r="K196" t="s">
        <v>642</v>
      </c>
      <c r="L196" t="s">
        <v>650</v>
      </c>
      <c r="M196" t="s">
        <v>658</v>
      </c>
    </row>
    <row r="197" spans="1:13" x14ac:dyDescent="0.3">
      <c r="A197" t="s">
        <v>205</v>
      </c>
      <c r="B197" s="4">
        <v>45663</v>
      </c>
      <c r="C197" t="s">
        <v>563</v>
      </c>
      <c r="D197" t="s">
        <v>616</v>
      </c>
      <c r="E197" t="s">
        <v>630</v>
      </c>
      <c r="F197" t="s">
        <v>640</v>
      </c>
      <c r="G197">
        <v>2</v>
      </c>
      <c r="H197" s="1">
        <v>78</v>
      </c>
      <c r="I197" s="1">
        <v>45</v>
      </c>
      <c r="J197" s="2">
        <v>0.05</v>
      </c>
      <c r="K197" t="s">
        <v>645</v>
      </c>
      <c r="L197" t="s">
        <v>648</v>
      </c>
      <c r="M197" t="s">
        <v>656</v>
      </c>
    </row>
    <row r="198" spans="1:13" x14ac:dyDescent="0.3">
      <c r="A198" t="s">
        <v>206</v>
      </c>
      <c r="B198" s="4">
        <v>45850</v>
      </c>
      <c r="C198" t="s">
        <v>594</v>
      </c>
      <c r="D198" t="s">
        <v>613</v>
      </c>
      <c r="E198" t="s">
        <v>627</v>
      </c>
      <c r="F198" t="s">
        <v>639</v>
      </c>
      <c r="G198">
        <v>2</v>
      </c>
      <c r="H198" s="1">
        <v>38</v>
      </c>
      <c r="I198" s="1">
        <v>17</v>
      </c>
      <c r="J198" s="2">
        <v>0.15</v>
      </c>
      <c r="K198" t="s">
        <v>642</v>
      </c>
      <c r="L198" t="s">
        <v>648</v>
      </c>
      <c r="M198" t="s">
        <v>668</v>
      </c>
    </row>
    <row r="199" spans="1:13" x14ac:dyDescent="0.3">
      <c r="A199" t="s">
        <v>207</v>
      </c>
      <c r="B199" s="4">
        <v>45918</v>
      </c>
      <c r="C199" t="s">
        <v>577</v>
      </c>
      <c r="D199" t="s">
        <v>612</v>
      </c>
      <c r="E199" t="s">
        <v>627</v>
      </c>
      <c r="F199" t="s">
        <v>639</v>
      </c>
      <c r="G199">
        <v>1</v>
      </c>
      <c r="H199" s="1">
        <v>38</v>
      </c>
      <c r="I199" s="1">
        <v>17</v>
      </c>
      <c r="J199" s="2">
        <v>0.05</v>
      </c>
      <c r="K199" t="s">
        <v>646</v>
      </c>
      <c r="L199" t="s">
        <v>648</v>
      </c>
      <c r="M199" t="s">
        <v>670</v>
      </c>
    </row>
    <row r="200" spans="1:13" x14ac:dyDescent="0.3">
      <c r="A200" t="s">
        <v>208</v>
      </c>
      <c r="B200" s="4">
        <v>45856</v>
      </c>
      <c r="C200" t="s">
        <v>580</v>
      </c>
      <c r="D200" t="s">
        <v>606</v>
      </c>
      <c r="E200" t="s">
        <v>635</v>
      </c>
      <c r="F200" t="s">
        <v>639</v>
      </c>
      <c r="G200">
        <v>4</v>
      </c>
      <c r="H200" s="1">
        <v>65</v>
      </c>
      <c r="I200" s="1">
        <v>31</v>
      </c>
      <c r="J200" s="2">
        <v>0.1</v>
      </c>
      <c r="K200" t="s">
        <v>647</v>
      </c>
      <c r="L200" t="s">
        <v>648</v>
      </c>
      <c r="M200" t="s">
        <v>672</v>
      </c>
    </row>
    <row r="201" spans="1:13" x14ac:dyDescent="0.3">
      <c r="A201" t="s">
        <v>209</v>
      </c>
      <c r="B201" s="4">
        <v>45812</v>
      </c>
      <c r="C201" t="s">
        <v>569</v>
      </c>
      <c r="D201" t="s">
        <v>603</v>
      </c>
      <c r="E201" t="s">
        <v>629</v>
      </c>
      <c r="F201" t="s">
        <v>640</v>
      </c>
      <c r="G201">
        <v>3</v>
      </c>
      <c r="H201" s="1">
        <v>92</v>
      </c>
      <c r="I201" s="1">
        <v>53</v>
      </c>
      <c r="J201" s="2">
        <v>0</v>
      </c>
      <c r="K201" t="s">
        <v>646</v>
      </c>
      <c r="L201" t="s">
        <v>649</v>
      </c>
      <c r="M201" t="s">
        <v>662</v>
      </c>
    </row>
    <row r="202" spans="1:13" x14ac:dyDescent="0.3">
      <c r="A202" t="s">
        <v>210</v>
      </c>
      <c r="B202" s="4">
        <v>46010</v>
      </c>
      <c r="C202" t="s">
        <v>563</v>
      </c>
      <c r="D202" t="s">
        <v>602</v>
      </c>
      <c r="E202" t="s">
        <v>635</v>
      </c>
      <c r="F202" t="s">
        <v>639</v>
      </c>
      <c r="G202">
        <v>4</v>
      </c>
      <c r="H202" s="1">
        <v>65</v>
      </c>
      <c r="I202" s="1">
        <v>31</v>
      </c>
      <c r="J202" s="2">
        <v>0.15</v>
      </c>
      <c r="K202" t="s">
        <v>647</v>
      </c>
      <c r="L202" t="s">
        <v>651</v>
      </c>
      <c r="M202" t="s">
        <v>656</v>
      </c>
    </row>
    <row r="203" spans="1:13" x14ac:dyDescent="0.3">
      <c r="A203" t="s">
        <v>211</v>
      </c>
      <c r="B203" s="4">
        <v>45883</v>
      </c>
      <c r="C203" t="s">
        <v>564</v>
      </c>
      <c r="D203" t="s">
        <v>624</v>
      </c>
      <c r="E203" t="s">
        <v>637</v>
      </c>
      <c r="F203" t="s">
        <v>641</v>
      </c>
      <c r="G203">
        <v>5</v>
      </c>
      <c r="H203" s="1">
        <v>175</v>
      </c>
      <c r="I203" s="1">
        <v>105</v>
      </c>
      <c r="J203" s="2">
        <v>0.05</v>
      </c>
      <c r="K203" t="s">
        <v>642</v>
      </c>
      <c r="L203" t="s">
        <v>650</v>
      </c>
      <c r="M203" t="s">
        <v>657</v>
      </c>
    </row>
    <row r="204" spans="1:13" x14ac:dyDescent="0.3">
      <c r="A204" t="s">
        <v>212</v>
      </c>
      <c r="B204" s="4">
        <v>45903</v>
      </c>
      <c r="C204" t="s">
        <v>576</v>
      </c>
      <c r="D204" t="s">
        <v>617</v>
      </c>
      <c r="E204" t="s">
        <v>637</v>
      </c>
      <c r="F204" t="s">
        <v>641</v>
      </c>
      <c r="G204">
        <v>1</v>
      </c>
      <c r="H204" s="1">
        <v>175</v>
      </c>
      <c r="I204" s="1">
        <v>105</v>
      </c>
      <c r="J204" s="2">
        <v>0.1</v>
      </c>
      <c r="K204" t="s">
        <v>647</v>
      </c>
      <c r="L204" t="s">
        <v>648</v>
      </c>
      <c r="M204" t="s">
        <v>669</v>
      </c>
    </row>
    <row r="205" spans="1:13" x14ac:dyDescent="0.3">
      <c r="A205" t="s">
        <v>213</v>
      </c>
      <c r="B205" s="4">
        <v>45811</v>
      </c>
      <c r="C205" t="s">
        <v>564</v>
      </c>
      <c r="D205" t="s">
        <v>621</v>
      </c>
      <c r="E205" t="s">
        <v>632</v>
      </c>
      <c r="F205" t="s">
        <v>639</v>
      </c>
      <c r="G205">
        <v>3</v>
      </c>
      <c r="H205" s="1">
        <v>42</v>
      </c>
      <c r="I205" s="1">
        <v>21</v>
      </c>
      <c r="J205" s="2">
        <v>0.05</v>
      </c>
      <c r="K205" t="s">
        <v>642</v>
      </c>
      <c r="L205" t="s">
        <v>649</v>
      </c>
      <c r="M205" t="s">
        <v>657</v>
      </c>
    </row>
    <row r="206" spans="1:13" x14ac:dyDescent="0.3">
      <c r="A206" t="s">
        <v>214</v>
      </c>
      <c r="B206" s="4">
        <v>45960</v>
      </c>
      <c r="C206" t="s">
        <v>589</v>
      </c>
      <c r="D206" t="s">
        <v>600</v>
      </c>
      <c r="E206" t="s">
        <v>635</v>
      </c>
      <c r="F206" t="s">
        <v>639</v>
      </c>
      <c r="G206">
        <v>3</v>
      </c>
      <c r="H206" s="1">
        <v>65</v>
      </c>
      <c r="I206" s="1">
        <v>31</v>
      </c>
      <c r="J206" s="2">
        <v>0.05</v>
      </c>
      <c r="K206" t="s">
        <v>646</v>
      </c>
      <c r="L206" t="s">
        <v>650</v>
      </c>
      <c r="M206" t="s">
        <v>666</v>
      </c>
    </row>
    <row r="207" spans="1:13" x14ac:dyDescent="0.3">
      <c r="A207" t="s">
        <v>215</v>
      </c>
      <c r="B207" s="4">
        <v>45998</v>
      </c>
      <c r="C207" t="s">
        <v>573</v>
      </c>
      <c r="D207" t="s">
        <v>608</v>
      </c>
      <c r="E207" t="s">
        <v>627</v>
      </c>
      <c r="F207" t="s">
        <v>639</v>
      </c>
      <c r="G207">
        <v>3</v>
      </c>
      <c r="H207" s="1">
        <v>38</v>
      </c>
      <c r="I207" s="1">
        <v>17</v>
      </c>
      <c r="J207" s="2">
        <v>0</v>
      </c>
      <c r="K207" t="s">
        <v>644</v>
      </c>
      <c r="L207" t="s">
        <v>650</v>
      </c>
      <c r="M207" t="s">
        <v>667</v>
      </c>
    </row>
    <row r="208" spans="1:13" x14ac:dyDescent="0.3">
      <c r="A208" t="s">
        <v>216</v>
      </c>
      <c r="B208" s="4">
        <v>45852</v>
      </c>
      <c r="C208" t="s">
        <v>584</v>
      </c>
      <c r="D208" t="s">
        <v>606</v>
      </c>
      <c r="E208" t="s">
        <v>630</v>
      </c>
      <c r="F208" t="s">
        <v>640</v>
      </c>
      <c r="G208">
        <v>2</v>
      </c>
      <c r="H208" s="1">
        <v>78</v>
      </c>
      <c r="I208" s="1">
        <v>45</v>
      </c>
      <c r="J208" s="2">
        <v>0.1</v>
      </c>
      <c r="K208" t="s">
        <v>645</v>
      </c>
      <c r="L208" t="s">
        <v>648</v>
      </c>
      <c r="M208" t="s">
        <v>675</v>
      </c>
    </row>
    <row r="209" spans="1:13" x14ac:dyDescent="0.3">
      <c r="A209" t="s">
        <v>217</v>
      </c>
      <c r="B209" s="4">
        <v>45710</v>
      </c>
      <c r="C209" t="s">
        <v>584</v>
      </c>
      <c r="D209" t="s">
        <v>609</v>
      </c>
      <c r="E209" t="s">
        <v>634</v>
      </c>
      <c r="F209" t="s">
        <v>641</v>
      </c>
      <c r="G209">
        <v>1</v>
      </c>
      <c r="H209" s="1">
        <v>59</v>
      </c>
      <c r="I209" s="1">
        <v>30</v>
      </c>
      <c r="J209" s="2">
        <v>0.05</v>
      </c>
      <c r="L209" t="s">
        <v>648</v>
      </c>
      <c r="M209" t="s">
        <v>675</v>
      </c>
    </row>
    <row r="210" spans="1:13" x14ac:dyDescent="0.3">
      <c r="A210" t="s">
        <v>218</v>
      </c>
      <c r="B210" s="4">
        <v>45812</v>
      </c>
      <c r="C210" t="s">
        <v>573</v>
      </c>
      <c r="D210" t="s">
        <v>619</v>
      </c>
      <c r="E210" t="s">
        <v>627</v>
      </c>
      <c r="F210" t="s">
        <v>639</v>
      </c>
      <c r="G210">
        <v>4</v>
      </c>
      <c r="H210" s="1">
        <v>38</v>
      </c>
      <c r="I210" s="1">
        <v>17</v>
      </c>
      <c r="J210" s="2">
        <v>0</v>
      </c>
      <c r="K210" t="s">
        <v>644</v>
      </c>
      <c r="L210" t="s">
        <v>650</v>
      </c>
      <c r="M210" t="s">
        <v>667</v>
      </c>
    </row>
    <row r="211" spans="1:13" x14ac:dyDescent="0.3">
      <c r="A211" t="s">
        <v>219</v>
      </c>
      <c r="B211" s="4">
        <v>45817</v>
      </c>
      <c r="C211" t="s">
        <v>571</v>
      </c>
      <c r="D211" t="s">
        <v>615</v>
      </c>
      <c r="E211" t="s">
        <v>628</v>
      </c>
      <c r="F211" t="s">
        <v>639</v>
      </c>
      <c r="G211">
        <v>2</v>
      </c>
      <c r="H211" s="1">
        <v>18</v>
      </c>
      <c r="I211" s="1">
        <v>7</v>
      </c>
      <c r="J211" s="2">
        <v>0</v>
      </c>
      <c r="K211" t="s">
        <v>646</v>
      </c>
      <c r="L211" t="s">
        <v>648</v>
      </c>
      <c r="M211" t="s">
        <v>664</v>
      </c>
    </row>
    <row r="212" spans="1:13" x14ac:dyDescent="0.3">
      <c r="A212" t="s">
        <v>220</v>
      </c>
      <c r="B212" s="4">
        <v>45718</v>
      </c>
      <c r="C212" t="s">
        <v>577</v>
      </c>
      <c r="D212" t="s">
        <v>606</v>
      </c>
      <c r="E212" t="s">
        <v>629</v>
      </c>
      <c r="F212" t="s">
        <v>640</v>
      </c>
      <c r="G212">
        <v>1</v>
      </c>
      <c r="H212" s="1">
        <v>92</v>
      </c>
      <c r="I212" s="1">
        <v>53</v>
      </c>
      <c r="J212" s="2">
        <v>0.2</v>
      </c>
      <c r="K212" t="s">
        <v>643</v>
      </c>
      <c r="L212" t="s">
        <v>648</v>
      </c>
      <c r="M212" t="s">
        <v>670</v>
      </c>
    </row>
    <row r="213" spans="1:13" x14ac:dyDescent="0.3">
      <c r="A213" t="s">
        <v>221</v>
      </c>
      <c r="B213" s="4">
        <v>45807</v>
      </c>
      <c r="C213" t="s">
        <v>580</v>
      </c>
      <c r="D213" t="s">
        <v>600</v>
      </c>
      <c r="E213" t="s">
        <v>637</v>
      </c>
      <c r="F213" t="s">
        <v>641</v>
      </c>
      <c r="G213">
        <v>4</v>
      </c>
      <c r="H213" s="1">
        <v>175</v>
      </c>
      <c r="I213" s="1">
        <v>105</v>
      </c>
      <c r="J213" s="2">
        <v>0</v>
      </c>
      <c r="K213" t="s">
        <v>643</v>
      </c>
      <c r="L213" t="s">
        <v>650</v>
      </c>
      <c r="M213" t="s">
        <v>672</v>
      </c>
    </row>
    <row r="214" spans="1:13" x14ac:dyDescent="0.3">
      <c r="A214" t="s">
        <v>222</v>
      </c>
      <c r="B214" s="4">
        <v>45986</v>
      </c>
      <c r="C214" t="s">
        <v>572</v>
      </c>
      <c r="D214" t="s">
        <v>609</v>
      </c>
      <c r="E214" t="s">
        <v>632</v>
      </c>
      <c r="F214" t="s">
        <v>639</v>
      </c>
      <c r="G214">
        <v>2</v>
      </c>
      <c r="H214" s="1">
        <v>42</v>
      </c>
      <c r="I214" s="1">
        <v>21</v>
      </c>
      <c r="J214" s="2">
        <v>0</v>
      </c>
      <c r="K214" t="s">
        <v>645</v>
      </c>
      <c r="L214" t="s">
        <v>648</v>
      </c>
      <c r="M214" t="s">
        <v>665</v>
      </c>
    </row>
    <row r="215" spans="1:13" x14ac:dyDescent="0.3">
      <c r="A215" t="s">
        <v>223</v>
      </c>
      <c r="B215" s="4">
        <v>45915</v>
      </c>
      <c r="C215" t="s">
        <v>571</v>
      </c>
      <c r="D215" t="s">
        <v>611</v>
      </c>
      <c r="E215" t="s">
        <v>627</v>
      </c>
      <c r="F215" t="s">
        <v>639</v>
      </c>
      <c r="G215">
        <v>1</v>
      </c>
      <c r="H215" s="1">
        <v>38</v>
      </c>
      <c r="I215" s="1">
        <v>17</v>
      </c>
      <c r="J215" s="2">
        <v>0.05</v>
      </c>
      <c r="K215" t="s">
        <v>647</v>
      </c>
      <c r="L215" t="s">
        <v>650</v>
      </c>
    </row>
    <row r="216" spans="1:13" x14ac:dyDescent="0.3">
      <c r="A216" t="s">
        <v>224</v>
      </c>
      <c r="B216" s="4">
        <v>45786</v>
      </c>
      <c r="C216" t="s">
        <v>575</v>
      </c>
      <c r="D216" t="s">
        <v>601</v>
      </c>
      <c r="E216" t="s">
        <v>634</v>
      </c>
      <c r="F216" t="s">
        <v>641</v>
      </c>
      <c r="G216">
        <v>5</v>
      </c>
      <c r="H216" s="1">
        <v>59</v>
      </c>
      <c r="I216" s="1">
        <v>30</v>
      </c>
      <c r="J216" s="2">
        <v>0</v>
      </c>
      <c r="K216" t="s">
        <v>644</v>
      </c>
      <c r="L216" t="s">
        <v>648</v>
      </c>
      <c r="M216" t="s">
        <v>668</v>
      </c>
    </row>
    <row r="217" spans="1:13" x14ac:dyDescent="0.3">
      <c r="A217" t="s">
        <v>225</v>
      </c>
      <c r="B217" s="4">
        <v>45789</v>
      </c>
      <c r="C217" t="s">
        <v>570</v>
      </c>
      <c r="D217" t="s">
        <v>624</v>
      </c>
      <c r="E217" t="s">
        <v>634</v>
      </c>
      <c r="F217" t="s">
        <v>641</v>
      </c>
      <c r="G217">
        <v>3</v>
      </c>
      <c r="H217" s="1">
        <v>59</v>
      </c>
      <c r="I217" s="1">
        <v>30</v>
      </c>
      <c r="J217" s="2">
        <v>0.1</v>
      </c>
      <c r="K217" t="s">
        <v>647</v>
      </c>
      <c r="L217" t="s">
        <v>651</v>
      </c>
      <c r="M217" t="s">
        <v>663</v>
      </c>
    </row>
    <row r="218" spans="1:13" x14ac:dyDescent="0.3">
      <c r="A218" t="s">
        <v>226</v>
      </c>
      <c r="B218" s="4">
        <v>45893</v>
      </c>
      <c r="C218" t="s">
        <v>584</v>
      </c>
      <c r="D218" t="s">
        <v>614</v>
      </c>
      <c r="E218" t="s">
        <v>637</v>
      </c>
      <c r="F218" t="s">
        <v>641</v>
      </c>
      <c r="G218">
        <v>4</v>
      </c>
      <c r="H218" s="1">
        <v>175</v>
      </c>
      <c r="I218" s="1">
        <v>105</v>
      </c>
      <c r="J218" s="2">
        <v>0.1</v>
      </c>
      <c r="K218" t="s">
        <v>643</v>
      </c>
      <c r="L218" t="s">
        <v>649</v>
      </c>
      <c r="M218" t="s">
        <v>675</v>
      </c>
    </row>
    <row r="219" spans="1:13" x14ac:dyDescent="0.3">
      <c r="A219" t="s">
        <v>227</v>
      </c>
      <c r="B219" s="4">
        <v>45841</v>
      </c>
      <c r="C219" t="s">
        <v>580</v>
      </c>
      <c r="D219" t="s">
        <v>616</v>
      </c>
      <c r="E219" t="s">
        <v>632</v>
      </c>
      <c r="F219" t="s">
        <v>639</v>
      </c>
      <c r="G219">
        <v>3</v>
      </c>
      <c r="H219" s="1">
        <v>42</v>
      </c>
      <c r="I219" s="1">
        <v>21</v>
      </c>
      <c r="J219" s="2">
        <v>0.1</v>
      </c>
      <c r="K219" t="s">
        <v>646</v>
      </c>
      <c r="L219" t="s">
        <v>649</v>
      </c>
      <c r="M219" t="s">
        <v>672</v>
      </c>
    </row>
    <row r="220" spans="1:13" x14ac:dyDescent="0.3">
      <c r="A220" t="s">
        <v>228</v>
      </c>
      <c r="B220" s="4">
        <v>45703</v>
      </c>
      <c r="C220" t="s">
        <v>584</v>
      </c>
      <c r="D220" t="s">
        <v>609</v>
      </c>
      <c r="E220" t="s">
        <v>631</v>
      </c>
      <c r="F220" t="s">
        <v>641</v>
      </c>
      <c r="G220">
        <v>1</v>
      </c>
      <c r="H220" s="1">
        <v>85</v>
      </c>
      <c r="I220" s="1">
        <v>44</v>
      </c>
      <c r="J220" s="2">
        <v>0</v>
      </c>
      <c r="K220" t="s">
        <v>643</v>
      </c>
      <c r="L220" t="s">
        <v>648</v>
      </c>
      <c r="M220" t="s">
        <v>675</v>
      </c>
    </row>
    <row r="221" spans="1:13" x14ac:dyDescent="0.3">
      <c r="A221" t="s">
        <v>229</v>
      </c>
      <c r="B221" s="4">
        <v>45731</v>
      </c>
      <c r="C221" t="s">
        <v>563</v>
      </c>
      <c r="D221" t="s">
        <v>606</v>
      </c>
      <c r="E221" t="s">
        <v>630</v>
      </c>
      <c r="F221" t="s">
        <v>640</v>
      </c>
      <c r="G221">
        <v>5</v>
      </c>
      <c r="H221" s="1">
        <v>78</v>
      </c>
      <c r="I221" s="1">
        <v>45</v>
      </c>
      <c r="J221" s="2">
        <v>0.15</v>
      </c>
      <c r="K221" t="s">
        <v>646</v>
      </c>
      <c r="L221" t="s">
        <v>650</v>
      </c>
      <c r="M221" t="s">
        <v>656</v>
      </c>
    </row>
    <row r="222" spans="1:13" x14ac:dyDescent="0.3">
      <c r="A222" t="s">
        <v>230</v>
      </c>
      <c r="B222" s="4">
        <v>45891</v>
      </c>
      <c r="C222" t="s">
        <v>563</v>
      </c>
      <c r="E222" t="s">
        <v>626</v>
      </c>
      <c r="F222" t="s">
        <v>638</v>
      </c>
      <c r="G222">
        <v>2</v>
      </c>
      <c r="H222" s="1">
        <v>36</v>
      </c>
      <c r="I222" s="1">
        <v>16</v>
      </c>
      <c r="J222" s="2">
        <v>0.15</v>
      </c>
      <c r="K222" t="s">
        <v>645</v>
      </c>
      <c r="L222" t="s">
        <v>648</v>
      </c>
      <c r="M222" t="s">
        <v>656</v>
      </c>
    </row>
    <row r="223" spans="1:13" x14ac:dyDescent="0.3">
      <c r="A223" t="s">
        <v>231</v>
      </c>
      <c r="B223" s="4">
        <v>45668</v>
      </c>
      <c r="C223" t="s">
        <v>569</v>
      </c>
      <c r="D223" t="s">
        <v>605</v>
      </c>
      <c r="E223" t="s">
        <v>634</v>
      </c>
      <c r="F223" t="s">
        <v>641</v>
      </c>
      <c r="G223">
        <v>4</v>
      </c>
      <c r="H223" s="1">
        <v>59</v>
      </c>
      <c r="I223" s="1">
        <v>30</v>
      </c>
      <c r="J223" s="2">
        <v>0.1</v>
      </c>
      <c r="K223" t="s">
        <v>644</v>
      </c>
      <c r="L223" t="s">
        <v>648</v>
      </c>
      <c r="M223" t="s">
        <v>662</v>
      </c>
    </row>
    <row r="224" spans="1:13" x14ac:dyDescent="0.3">
      <c r="A224" t="s">
        <v>232</v>
      </c>
      <c r="B224" s="4">
        <v>45768</v>
      </c>
      <c r="C224" t="s">
        <v>580</v>
      </c>
      <c r="D224" t="s">
        <v>604</v>
      </c>
      <c r="E224" t="s">
        <v>629</v>
      </c>
      <c r="F224" t="s">
        <v>640</v>
      </c>
      <c r="G224">
        <v>3</v>
      </c>
      <c r="H224" s="1">
        <v>92</v>
      </c>
      <c r="I224" s="1">
        <v>53</v>
      </c>
      <c r="J224" s="2">
        <v>0.05</v>
      </c>
      <c r="K224" t="s">
        <v>645</v>
      </c>
      <c r="L224" t="s">
        <v>648</v>
      </c>
      <c r="M224" t="s">
        <v>672</v>
      </c>
    </row>
    <row r="225" spans="1:13" x14ac:dyDescent="0.3">
      <c r="A225" t="s">
        <v>233</v>
      </c>
      <c r="B225" s="4">
        <v>45704</v>
      </c>
      <c r="C225" t="s">
        <v>570</v>
      </c>
      <c r="D225" t="s">
        <v>622</v>
      </c>
      <c r="E225" t="s">
        <v>635</v>
      </c>
      <c r="F225" t="s">
        <v>639</v>
      </c>
      <c r="G225">
        <v>5</v>
      </c>
      <c r="H225" s="1">
        <v>65</v>
      </c>
      <c r="I225" s="1">
        <v>31</v>
      </c>
      <c r="J225" s="2">
        <v>0.1</v>
      </c>
      <c r="K225" t="s">
        <v>646</v>
      </c>
      <c r="L225" t="s">
        <v>649</v>
      </c>
      <c r="M225" t="s">
        <v>663</v>
      </c>
    </row>
    <row r="226" spans="1:13" x14ac:dyDescent="0.3">
      <c r="A226" t="s">
        <v>234</v>
      </c>
      <c r="B226" s="4">
        <v>45854</v>
      </c>
      <c r="C226" t="s">
        <v>584</v>
      </c>
      <c r="D226" t="s">
        <v>613</v>
      </c>
      <c r="E226" t="s">
        <v>634</v>
      </c>
      <c r="F226" t="s">
        <v>641</v>
      </c>
      <c r="G226">
        <v>5</v>
      </c>
      <c r="H226" s="1">
        <v>59</v>
      </c>
      <c r="I226" s="1">
        <v>30</v>
      </c>
      <c r="J226" s="2">
        <v>0</v>
      </c>
      <c r="K226" t="s">
        <v>645</v>
      </c>
      <c r="L226" t="s">
        <v>648</v>
      </c>
      <c r="M226" t="s">
        <v>675</v>
      </c>
    </row>
    <row r="227" spans="1:13" x14ac:dyDescent="0.3">
      <c r="A227" t="s">
        <v>235</v>
      </c>
      <c r="B227" s="4">
        <v>45827</v>
      </c>
      <c r="C227" t="s">
        <v>595</v>
      </c>
      <c r="D227" t="s">
        <v>608</v>
      </c>
      <c r="E227" t="s">
        <v>628</v>
      </c>
      <c r="F227" t="s">
        <v>639</v>
      </c>
      <c r="G227">
        <v>5</v>
      </c>
      <c r="H227" s="1">
        <v>18</v>
      </c>
      <c r="I227" s="1">
        <v>7</v>
      </c>
      <c r="J227" s="2">
        <v>0.05</v>
      </c>
      <c r="K227" t="s">
        <v>642</v>
      </c>
      <c r="L227" t="s">
        <v>648</v>
      </c>
      <c r="M227" t="s">
        <v>678</v>
      </c>
    </row>
    <row r="228" spans="1:13" x14ac:dyDescent="0.3">
      <c r="A228" t="s">
        <v>236</v>
      </c>
      <c r="B228" s="4">
        <v>45956</v>
      </c>
      <c r="C228" t="s">
        <v>572</v>
      </c>
      <c r="D228" t="s">
        <v>607</v>
      </c>
      <c r="E228" t="s">
        <v>626</v>
      </c>
      <c r="F228" t="s">
        <v>638</v>
      </c>
      <c r="G228">
        <v>2</v>
      </c>
      <c r="H228" s="1">
        <v>36</v>
      </c>
      <c r="I228" s="1">
        <v>16</v>
      </c>
      <c r="J228" s="2">
        <v>0</v>
      </c>
      <c r="K228" t="s">
        <v>643</v>
      </c>
      <c r="L228" t="s">
        <v>648</v>
      </c>
      <c r="M228" t="s">
        <v>665</v>
      </c>
    </row>
    <row r="229" spans="1:13" x14ac:dyDescent="0.3">
      <c r="A229" t="s">
        <v>237</v>
      </c>
      <c r="B229" s="4">
        <v>45728</v>
      </c>
      <c r="C229" t="s">
        <v>578</v>
      </c>
      <c r="D229" t="s">
        <v>604</v>
      </c>
      <c r="E229" t="s">
        <v>627</v>
      </c>
      <c r="F229" t="s">
        <v>639</v>
      </c>
      <c r="G229">
        <v>3</v>
      </c>
      <c r="H229" s="1">
        <v>38</v>
      </c>
      <c r="I229" s="1">
        <v>17</v>
      </c>
      <c r="J229" s="2">
        <v>0.1</v>
      </c>
      <c r="K229" t="s">
        <v>647</v>
      </c>
      <c r="L229" t="s">
        <v>651</v>
      </c>
      <c r="M229" t="s">
        <v>671</v>
      </c>
    </row>
    <row r="230" spans="1:13" x14ac:dyDescent="0.3">
      <c r="A230" t="s">
        <v>238</v>
      </c>
      <c r="B230" s="4">
        <v>46019</v>
      </c>
      <c r="C230" t="s">
        <v>570</v>
      </c>
      <c r="D230" t="s">
        <v>613</v>
      </c>
      <c r="E230" t="s">
        <v>626</v>
      </c>
      <c r="F230" t="s">
        <v>638</v>
      </c>
      <c r="G230">
        <v>2</v>
      </c>
      <c r="H230" s="1">
        <v>36</v>
      </c>
      <c r="I230" s="1">
        <v>16</v>
      </c>
      <c r="J230" s="2">
        <v>0.15</v>
      </c>
      <c r="K230" t="s">
        <v>644</v>
      </c>
      <c r="L230" t="s">
        <v>655</v>
      </c>
      <c r="M230" t="s">
        <v>663</v>
      </c>
    </row>
    <row r="231" spans="1:13" x14ac:dyDescent="0.3">
      <c r="A231" t="s">
        <v>239</v>
      </c>
      <c r="B231" s="4">
        <v>45964</v>
      </c>
      <c r="C231" t="s">
        <v>572</v>
      </c>
      <c r="D231" t="s">
        <v>625</v>
      </c>
      <c r="E231" t="s">
        <v>632</v>
      </c>
      <c r="F231" t="s">
        <v>639</v>
      </c>
      <c r="G231">
        <v>3</v>
      </c>
      <c r="H231" s="1">
        <v>42</v>
      </c>
      <c r="I231" s="1">
        <v>21</v>
      </c>
      <c r="J231" s="2">
        <v>0.15</v>
      </c>
      <c r="K231" t="s">
        <v>645</v>
      </c>
      <c r="L231" t="s">
        <v>650</v>
      </c>
      <c r="M231" t="s">
        <v>665</v>
      </c>
    </row>
    <row r="232" spans="1:13" x14ac:dyDescent="0.3">
      <c r="A232" t="s">
        <v>240</v>
      </c>
      <c r="B232" s="4">
        <v>45865</v>
      </c>
      <c r="C232" t="s">
        <v>578</v>
      </c>
      <c r="D232" t="s">
        <v>608</v>
      </c>
      <c r="E232" t="s">
        <v>632</v>
      </c>
      <c r="F232" t="s">
        <v>639</v>
      </c>
      <c r="G232">
        <v>1</v>
      </c>
      <c r="H232" s="1">
        <v>42</v>
      </c>
      <c r="I232" s="1">
        <v>21</v>
      </c>
      <c r="J232" s="2">
        <v>0.1</v>
      </c>
      <c r="K232" t="s">
        <v>646</v>
      </c>
      <c r="L232" t="s">
        <v>648</v>
      </c>
      <c r="M232" t="s">
        <v>671</v>
      </c>
    </row>
    <row r="233" spans="1:13" x14ac:dyDescent="0.3">
      <c r="A233" t="s">
        <v>241</v>
      </c>
      <c r="B233" s="4">
        <v>45733</v>
      </c>
      <c r="C233" t="s">
        <v>578</v>
      </c>
      <c r="D233" t="s">
        <v>608</v>
      </c>
      <c r="E233" t="s">
        <v>635</v>
      </c>
      <c r="F233" t="s">
        <v>639</v>
      </c>
      <c r="G233">
        <v>2</v>
      </c>
      <c r="H233" s="1">
        <v>65</v>
      </c>
      <c r="I233" s="1">
        <v>31</v>
      </c>
      <c r="J233" s="2">
        <v>0.05</v>
      </c>
      <c r="K233" t="s">
        <v>647</v>
      </c>
      <c r="L233" t="s">
        <v>648</v>
      </c>
      <c r="M233" t="s">
        <v>671</v>
      </c>
    </row>
    <row r="234" spans="1:13" x14ac:dyDescent="0.3">
      <c r="A234" t="s">
        <v>242</v>
      </c>
      <c r="B234" s="4">
        <v>45971</v>
      </c>
      <c r="C234" t="s">
        <v>569</v>
      </c>
      <c r="D234" t="s">
        <v>599</v>
      </c>
      <c r="E234" t="s">
        <v>637</v>
      </c>
      <c r="F234" t="s">
        <v>641</v>
      </c>
      <c r="G234">
        <v>5</v>
      </c>
      <c r="H234" s="1">
        <v>175</v>
      </c>
      <c r="I234" s="1">
        <v>105</v>
      </c>
      <c r="J234" s="2">
        <v>0</v>
      </c>
      <c r="K234" t="s">
        <v>647</v>
      </c>
      <c r="L234" t="s">
        <v>648</v>
      </c>
      <c r="M234" t="s">
        <v>662</v>
      </c>
    </row>
    <row r="235" spans="1:13" x14ac:dyDescent="0.3">
      <c r="A235" t="s">
        <v>243</v>
      </c>
      <c r="B235" s="4">
        <v>45758</v>
      </c>
      <c r="C235" t="s">
        <v>578</v>
      </c>
      <c r="D235" t="s">
        <v>614</v>
      </c>
      <c r="E235" t="s">
        <v>628</v>
      </c>
      <c r="F235" t="s">
        <v>639</v>
      </c>
      <c r="G235">
        <v>5</v>
      </c>
      <c r="H235" s="1">
        <v>18</v>
      </c>
      <c r="I235" s="1">
        <v>7</v>
      </c>
      <c r="J235" s="2">
        <v>0</v>
      </c>
      <c r="K235" t="s">
        <v>647</v>
      </c>
      <c r="L235" t="s">
        <v>650</v>
      </c>
      <c r="M235" t="s">
        <v>671</v>
      </c>
    </row>
    <row r="236" spans="1:13" x14ac:dyDescent="0.3">
      <c r="A236" t="s">
        <v>244</v>
      </c>
      <c r="B236" s="4">
        <v>45854</v>
      </c>
      <c r="C236" t="s">
        <v>567</v>
      </c>
      <c r="D236" t="s">
        <v>620</v>
      </c>
      <c r="E236" t="s">
        <v>629</v>
      </c>
      <c r="F236" t="s">
        <v>640</v>
      </c>
      <c r="G236">
        <v>3</v>
      </c>
      <c r="H236" s="1">
        <v>92</v>
      </c>
      <c r="I236" s="1">
        <v>53</v>
      </c>
      <c r="J236" s="2">
        <v>0</v>
      </c>
      <c r="K236" t="s">
        <v>643</v>
      </c>
      <c r="L236" t="s">
        <v>650</v>
      </c>
      <c r="M236" t="s">
        <v>660</v>
      </c>
    </row>
    <row r="237" spans="1:13" x14ac:dyDescent="0.3">
      <c r="A237" t="s">
        <v>245</v>
      </c>
      <c r="B237" s="4">
        <v>45908</v>
      </c>
      <c r="C237" t="s">
        <v>587</v>
      </c>
      <c r="D237" t="s">
        <v>615</v>
      </c>
      <c r="E237" t="s">
        <v>634</v>
      </c>
      <c r="F237" t="s">
        <v>641</v>
      </c>
      <c r="G237">
        <v>3</v>
      </c>
      <c r="H237" s="1">
        <v>59</v>
      </c>
      <c r="I237" s="1">
        <v>30</v>
      </c>
      <c r="J237" s="2">
        <v>0</v>
      </c>
      <c r="K237" t="s">
        <v>644</v>
      </c>
      <c r="L237" t="s">
        <v>650</v>
      </c>
      <c r="M237" t="s">
        <v>664</v>
      </c>
    </row>
    <row r="238" spans="1:13" x14ac:dyDescent="0.3">
      <c r="A238" t="s">
        <v>246</v>
      </c>
      <c r="B238" s="4">
        <v>45719</v>
      </c>
      <c r="C238" t="s">
        <v>566</v>
      </c>
      <c r="D238" t="s">
        <v>601</v>
      </c>
      <c r="E238" t="s">
        <v>628</v>
      </c>
      <c r="F238" t="s">
        <v>639</v>
      </c>
      <c r="G238">
        <v>2</v>
      </c>
      <c r="H238" s="1">
        <v>18</v>
      </c>
      <c r="I238" s="1">
        <v>7</v>
      </c>
      <c r="J238" s="2">
        <v>0</v>
      </c>
      <c r="K238" t="s">
        <v>647</v>
      </c>
      <c r="L238" t="s">
        <v>649</v>
      </c>
      <c r="M238" t="s">
        <v>659</v>
      </c>
    </row>
    <row r="239" spans="1:13" x14ac:dyDescent="0.3">
      <c r="A239" t="s">
        <v>247</v>
      </c>
      <c r="B239" s="4">
        <v>46009</v>
      </c>
      <c r="C239" t="s">
        <v>580</v>
      </c>
      <c r="D239" t="s">
        <v>608</v>
      </c>
      <c r="E239" t="s">
        <v>629</v>
      </c>
      <c r="F239" t="s">
        <v>640</v>
      </c>
      <c r="G239">
        <v>4</v>
      </c>
      <c r="H239" s="1">
        <v>92</v>
      </c>
      <c r="I239" s="1">
        <v>53</v>
      </c>
      <c r="J239" s="2">
        <v>0</v>
      </c>
      <c r="K239" t="s">
        <v>642</v>
      </c>
      <c r="L239" t="s">
        <v>648</v>
      </c>
      <c r="M239" t="s">
        <v>672</v>
      </c>
    </row>
    <row r="240" spans="1:13" x14ac:dyDescent="0.3">
      <c r="A240" t="s">
        <v>248</v>
      </c>
      <c r="B240" s="4">
        <v>45951</v>
      </c>
      <c r="C240" t="s">
        <v>584</v>
      </c>
      <c r="D240" t="s">
        <v>615</v>
      </c>
      <c r="E240" t="s">
        <v>637</v>
      </c>
      <c r="F240" t="s">
        <v>641</v>
      </c>
      <c r="G240">
        <v>3</v>
      </c>
      <c r="H240" s="1">
        <v>175</v>
      </c>
      <c r="I240" s="1">
        <v>105</v>
      </c>
      <c r="J240" s="2">
        <v>0.05</v>
      </c>
      <c r="K240" t="s">
        <v>645</v>
      </c>
      <c r="L240" t="s">
        <v>648</v>
      </c>
      <c r="M240" t="s">
        <v>675</v>
      </c>
    </row>
    <row r="241" spans="1:13" x14ac:dyDescent="0.3">
      <c r="A241" t="s">
        <v>249</v>
      </c>
      <c r="B241" s="4">
        <v>46003</v>
      </c>
      <c r="C241" t="s">
        <v>596</v>
      </c>
      <c r="D241" t="s">
        <v>619</v>
      </c>
      <c r="E241" t="s">
        <v>627</v>
      </c>
      <c r="F241" t="s">
        <v>639</v>
      </c>
      <c r="G241">
        <v>3</v>
      </c>
      <c r="H241" s="1">
        <v>38</v>
      </c>
      <c r="I241" s="1">
        <v>17</v>
      </c>
      <c r="J241" s="2">
        <v>0</v>
      </c>
      <c r="K241" t="s">
        <v>643</v>
      </c>
      <c r="L241" t="s">
        <v>651</v>
      </c>
      <c r="M241" t="s">
        <v>669</v>
      </c>
    </row>
    <row r="242" spans="1:13" x14ac:dyDescent="0.3">
      <c r="A242" t="s">
        <v>250</v>
      </c>
      <c r="B242" s="4">
        <v>45988</v>
      </c>
      <c r="C242" t="s">
        <v>580</v>
      </c>
      <c r="D242" t="s">
        <v>609</v>
      </c>
      <c r="E242" t="s">
        <v>635</v>
      </c>
      <c r="F242" t="s">
        <v>639</v>
      </c>
      <c r="G242">
        <v>5</v>
      </c>
      <c r="H242" s="1">
        <v>65</v>
      </c>
      <c r="I242" s="1">
        <v>31</v>
      </c>
      <c r="J242" s="2">
        <v>0</v>
      </c>
      <c r="K242" t="s">
        <v>645</v>
      </c>
      <c r="L242" t="s">
        <v>648</v>
      </c>
      <c r="M242" t="s">
        <v>672</v>
      </c>
    </row>
    <row r="243" spans="1:13" x14ac:dyDescent="0.3">
      <c r="A243" t="s">
        <v>251</v>
      </c>
      <c r="B243" s="4">
        <v>45765</v>
      </c>
      <c r="C243" t="s">
        <v>575</v>
      </c>
      <c r="D243" t="s">
        <v>606</v>
      </c>
      <c r="E243" t="s">
        <v>637</v>
      </c>
      <c r="F243" t="s">
        <v>641</v>
      </c>
      <c r="G243">
        <v>5</v>
      </c>
      <c r="H243" s="1">
        <v>175</v>
      </c>
      <c r="I243" s="1">
        <v>105</v>
      </c>
      <c r="J243" s="2">
        <v>0.15</v>
      </c>
      <c r="K243" t="s">
        <v>646</v>
      </c>
      <c r="L243" t="s">
        <v>648</v>
      </c>
      <c r="M243" t="s">
        <v>668</v>
      </c>
    </row>
    <row r="244" spans="1:13" x14ac:dyDescent="0.3">
      <c r="A244" t="s">
        <v>252</v>
      </c>
      <c r="B244" s="4">
        <v>45921</v>
      </c>
      <c r="C244" t="s">
        <v>577</v>
      </c>
      <c r="D244" t="s">
        <v>610</v>
      </c>
      <c r="E244" t="s">
        <v>626</v>
      </c>
      <c r="F244" t="s">
        <v>638</v>
      </c>
      <c r="G244">
        <v>2</v>
      </c>
      <c r="H244" s="1">
        <v>36</v>
      </c>
      <c r="I244" s="1">
        <v>16</v>
      </c>
      <c r="J244" s="2">
        <v>0.05</v>
      </c>
      <c r="K244" t="s">
        <v>642</v>
      </c>
      <c r="L244" t="s">
        <v>648</v>
      </c>
      <c r="M244" t="s">
        <v>670</v>
      </c>
    </row>
    <row r="245" spans="1:13" x14ac:dyDescent="0.3">
      <c r="A245" t="s">
        <v>253</v>
      </c>
      <c r="B245" s="4">
        <v>45760</v>
      </c>
      <c r="C245" t="s">
        <v>577</v>
      </c>
      <c r="D245" t="s">
        <v>605</v>
      </c>
      <c r="E245" t="s">
        <v>637</v>
      </c>
      <c r="F245" t="s">
        <v>641</v>
      </c>
      <c r="G245">
        <v>5</v>
      </c>
      <c r="H245" s="1">
        <v>175</v>
      </c>
      <c r="I245" s="1">
        <v>105</v>
      </c>
      <c r="J245" s="2">
        <v>0.05</v>
      </c>
      <c r="K245" t="s">
        <v>646</v>
      </c>
      <c r="L245" t="s">
        <v>649</v>
      </c>
      <c r="M245" t="s">
        <v>670</v>
      </c>
    </row>
    <row r="246" spans="1:13" x14ac:dyDescent="0.3">
      <c r="A246" t="s">
        <v>254</v>
      </c>
      <c r="B246" s="4">
        <v>45811</v>
      </c>
      <c r="C246" t="s">
        <v>567</v>
      </c>
      <c r="D246" t="s">
        <v>623</v>
      </c>
      <c r="E246" t="s">
        <v>634</v>
      </c>
      <c r="F246" t="s">
        <v>641</v>
      </c>
      <c r="G246">
        <v>2</v>
      </c>
      <c r="H246" s="1">
        <v>59</v>
      </c>
      <c r="I246" s="1">
        <v>30</v>
      </c>
      <c r="J246" s="2">
        <v>0.05</v>
      </c>
      <c r="K246" t="s">
        <v>646</v>
      </c>
      <c r="L246" t="s">
        <v>649</v>
      </c>
      <c r="M246" t="s">
        <v>660</v>
      </c>
    </row>
    <row r="247" spans="1:13" x14ac:dyDescent="0.3">
      <c r="A247" t="s">
        <v>255</v>
      </c>
      <c r="B247" s="4">
        <v>45853</v>
      </c>
      <c r="C247" t="s">
        <v>564</v>
      </c>
      <c r="D247" t="s">
        <v>615</v>
      </c>
      <c r="E247" t="s">
        <v>631</v>
      </c>
      <c r="F247" t="s">
        <v>641</v>
      </c>
      <c r="G247">
        <v>1</v>
      </c>
      <c r="H247" s="1">
        <v>85</v>
      </c>
      <c r="I247" s="1">
        <v>44</v>
      </c>
      <c r="J247" s="2">
        <v>0.2</v>
      </c>
      <c r="K247" t="s">
        <v>645</v>
      </c>
      <c r="L247" t="s">
        <v>648</v>
      </c>
      <c r="M247" t="s">
        <v>657</v>
      </c>
    </row>
    <row r="248" spans="1:13" x14ac:dyDescent="0.3">
      <c r="A248" t="s">
        <v>256</v>
      </c>
      <c r="B248" s="4">
        <v>45720</v>
      </c>
      <c r="C248" t="s">
        <v>564</v>
      </c>
      <c r="D248" t="s">
        <v>605</v>
      </c>
      <c r="E248" t="s">
        <v>629</v>
      </c>
      <c r="F248" t="s">
        <v>640</v>
      </c>
      <c r="G248">
        <v>4</v>
      </c>
      <c r="H248" s="1">
        <v>92</v>
      </c>
      <c r="I248" s="1">
        <v>53</v>
      </c>
      <c r="J248" s="2">
        <v>0</v>
      </c>
      <c r="K248" t="s">
        <v>643</v>
      </c>
      <c r="L248" t="s">
        <v>649</v>
      </c>
      <c r="M248" t="s">
        <v>657</v>
      </c>
    </row>
    <row r="249" spans="1:13" x14ac:dyDescent="0.3">
      <c r="A249" t="s">
        <v>257</v>
      </c>
      <c r="B249" s="4">
        <v>46007</v>
      </c>
      <c r="C249" t="s">
        <v>576</v>
      </c>
      <c r="D249" t="s">
        <v>613</v>
      </c>
      <c r="E249" t="s">
        <v>634</v>
      </c>
      <c r="F249" t="s">
        <v>641</v>
      </c>
      <c r="G249">
        <v>4</v>
      </c>
      <c r="H249" s="1">
        <v>59</v>
      </c>
      <c r="I249" s="1">
        <v>30</v>
      </c>
      <c r="J249" s="2">
        <v>0.05</v>
      </c>
      <c r="K249" t="s">
        <v>647</v>
      </c>
      <c r="L249" t="s">
        <v>648</v>
      </c>
      <c r="M249" t="s">
        <v>669</v>
      </c>
    </row>
    <row r="250" spans="1:13" x14ac:dyDescent="0.3">
      <c r="A250" t="s">
        <v>258</v>
      </c>
      <c r="B250" s="4">
        <v>45984</v>
      </c>
      <c r="C250" t="s">
        <v>572</v>
      </c>
      <c r="D250" t="s">
        <v>605</v>
      </c>
      <c r="E250" t="s">
        <v>634</v>
      </c>
      <c r="F250" t="s">
        <v>641</v>
      </c>
      <c r="G250">
        <v>5</v>
      </c>
      <c r="H250" s="1">
        <v>59</v>
      </c>
      <c r="I250" s="1">
        <v>30</v>
      </c>
      <c r="J250" s="2">
        <v>0.05</v>
      </c>
      <c r="K250" t="s">
        <v>645</v>
      </c>
      <c r="L250" t="s">
        <v>648</v>
      </c>
      <c r="M250" t="s">
        <v>665</v>
      </c>
    </row>
    <row r="251" spans="1:13" x14ac:dyDescent="0.3">
      <c r="A251" t="s">
        <v>259</v>
      </c>
      <c r="B251" s="4">
        <v>46006</v>
      </c>
      <c r="C251" t="s">
        <v>571</v>
      </c>
      <c r="D251" t="s">
        <v>623</v>
      </c>
      <c r="E251" t="s">
        <v>627</v>
      </c>
      <c r="F251" t="s">
        <v>639</v>
      </c>
      <c r="G251">
        <v>5</v>
      </c>
      <c r="H251" s="1">
        <v>38</v>
      </c>
      <c r="I251" s="1">
        <v>17</v>
      </c>
      <c r="J251" s="2">
        <v>0.2</v>
      </c>
      <c r="K251" t="s">
        <v>644</v>
      </c>
      <c r="L251" t="s">
        <v>648</v>
      </c>
      <c r="M251" t="s">
        <v>664</v>
      </c>
    </row>
    <row r="252" spans="1:13" x14ac:dyDescent="0.3">
      <c r="A252" t="s">
        <v>260</v>
      </c>
      <c r="B252" s="4">
        <v>45795</v>
      </c>
      <c r="C252" t="s">
        <v>577</v>
      </c>
      <c r="D252" t="s">
        <v>623</v>
      </c>
      <c r="E252" t="s">
        <v>632</v>
      </c>
      <c r="F252" t="s">
        <v>639</v>
      </c>
      <c r="G252">
        <v>5</v>
      </c>
      <c r="H252" s="1">
        <v>42</v>
      </c>
      <c r="I252" s="1">
        <v>21</v>
      </c>
      <c r="J252" s="2">
        <v>0.15</v>
      </c>
      <c r="K252" t="s">
        <v>644</v>
      </c>
      <c r="L252" t="s">
        <v>648</v>
      </c>
      <c r="M252" t="s">
        <v>670</v>
      </c>
    </row>
    <row r="253" spans="1:13" x14ac:dyDescent="0.3">
      <c r="A253" t="s">
        <v>261</v>
      </c>
      <c r="B253" s="4">
        <v>46005</v>
      </c>
      <c r="C253" t="s">
        <v>572</v>
      </c>
      <c r="D253" t="s">
        <v>608</v>
      </c>
      <c r="E253" t="s">
        <v>631</v>
      </c>
      <c r="F253" t="s">
        <v>641</v>
      </c>
      <c r="G253">
        <v>5</v>
      </c>
      <c r="H253" s="1">
        <v>85</v>
      </c>
      <c r="I253" s="1">
        <v>44</v>
      </c>
      <c r="J253" s="2">
        <v>0.1</v>
      </c>
      <c r="L253" t="s">
        <v>651</v>
      </c>
      <c r="M253" t="s">
        <v>665</v>
      </c>
    </row>
    <row r="254" spans="1:13" x14ac:dyDescent="0.3">
      <c r="A254" t="s">
        <v>262</v>
      </c>
      <c r="B254" s="4">
        <v>45947</v>
      </c>
      <c r="C254" t="s">
        <v>588</v>
      </c>
      <c r="D254" t="s">
        <v>605</v>
      </c>
      <c r="E254" t="s">
        <v>627</v>
      </c>
      <c r="F254" t="s">
        <v>639</v>
      </c>
      <c r="G254">
        <v>1</v>
      </c>
      <c r="H254" s="1">
        <v>38</v>
      </c>
      <c r="I254" s="1">
        <v>17</v>
      </c>
      <c r="J254" s="2">
        <v>0</v>
      </c>
      <c r="K254" t="s">
        <v>643</v>
      </c>
      <c r="L254" t="s">
        <v>648</v>
      </c>
      <c r="M254" t="s">
        <v>656</v>
      </c>
    </row>
    <row r="255" spans="1:13" x14ac:dyDescent="0.3">
      <c r="A255" t="s">
        <v>263</v>
      </c>
      <c r="B255" s="4">
        <v>45745</v>
      </c>
      <c r="C255" t="s">
        <v>571</v>
      </c>
      <c r="D255" t="s">
        <v>613</v>
      </c>
      <c r="E255" t="s">
        <v>634</v>
      </c>
      <c r="F255" t="s">
        <v>641</v>
      </c>
      <c r="G255">
        <v>4</v>
      </c>
      <c r="H255" s="1">
        <v>59</v>
      </c>
      <c r="I255" s="1">
        <v>30</v>
      </c>
      <c r="J255" s="2">
        <v>0.1</v>
      </c>
      <c r="K255" t="s">
        <v>643</v>
      </c>
      <c r="L255" t="s">
        <v>651</v>
      </c>
      <c r="M255" t="s">
        <v>664</v>
      </c>
    </row>
    <row r="256" spans="1:13" x14ac:dyDescent="0.3">
      <c r="A256" t="s">
        <v>264</v>
      </c>
      <c r="B256" s="4">
        <v>45658</v>
      </c>
      <c r="C256" t="s">
        <v>570</v>
      </c>
      <c r="D256" t="s">
        <v>623</v>
      </c>
      <c r="E256" t="s">
        <v>636</v>
      </c>
      <c r="F256" t="s">
        <v>641</v>
      </c>
      <c r="G256">
        <v>4</v>
      </c>
      <c r="H256" s="1">
        <v>245</v>
      </c>
      <c r="I256" s="1">
        <v>150</v>
      </c>
      <c r="J256" s="2">
        <v>0</v>
      </c>
      <c r="K256" t="s">
        <v>642</v>
      </c>
      <c r="L256" t="s">
        <v>648</v>
      </c>
      <c r="M256" t="s">
        <v>663</v>
      </c>
    </row>
    <row r="257" spans="1:13" x14ac:dyDescent="0.3">
      <c r="A257" t="s">
        <v>265</v>
      </c>
      <c r="B257" s="4">
        <v>45737</v>
      </c>
      <c r="C257" t="s">
        <v>570</v>
      </c>
      <c r="D257" t="s">
        <v>603</v>
      </c>
      <c r="E257" t="s">
        <v>632</v>
      </c>
      <c r="F257" t="s">
        <v>639</v>
      </c>
      <c r="G257">
        <v>1</v>
      </c>
      <c r="H257" s="1">
        <v>42</v>
      </c>
      <c r="I257" s="1">
        <v>21</v>
      </c>
      <c r="J257" s="2">
        <v>0.1</v>
      </c>
      <c r="K257" t="s">
        <v>647</v>
      </c>
      <c r="L257" t="s">
        <v>651</v>
      </c>
      <c r="M257" t="s">
        <v>663</v>
      </c>
    </row>
    <row r="258" spans="1:13" x14ac:dyDescent="0.3">
      <c r="A258" t="s">
        <v>266</v>
      </c>
      <c r="B258" s="4">
        <v>45869</v>
      </c>
      <c r="C258" t="s">
        <v>575</v>
      </c>
      <c r="D258" t="s">
        <v>600</v>
      </c>
      <c r="E258" t="s">
        <v>636</v>
      </c>
      <c r="F258" t="s">
        <v>641</v>
      </c>
      <c r="G258">
        <v>1</v>
      </c>
      <c r="H258" s="1">
        <v>245</v>
      </c>
      <c r="I258" s="1">
        <v>150</v>
      </c>
      <c r="J258" s="2">
        <v>0.05</v>
      </c>
      <c r="K258" t="s">
        <v>647</v>
      </c>
      <c r="L258" t="s">
        <v>650</v>
      </c>
      <c r="M258" t="s">
        <v>668</v>
      </c>
    </row>
    <row r="259" spans="1:13" x14ac:dyDescent="0.3">
      <c r="A259" t="s">
        <v>267</v>
      </c>
      <c r="B259" s="4">
        <v>45819</v>
      </c>
      <c r="C259" t="s">
        <v>571</v>
      </c>
      <c r="D259" t="s">
        <v>615</v>
      </c>
      <c r="E259" t="s">
        <v>626</v>
      </c>
      <c r="F259" t="s">
        <v>638</v>
      </c>
      <c r="G259">
        <v>5</v>
      </c>
      <c r="H259" s="1">
        <v>36</v>
      </c>
      <c r="I259" s="1">
        <v>16</v>
      </c>
      <c r="J259" s="2">
        <v>0</v>
      </c>
      <c r="K259" t="s">
        <v>642</v>
      </c>
      <c r="L259" t="s">
        <v>650</v>
      </c>
      <c r="M259" t="s">
        <v>664</v>
      </c>
    </row>
    <row r="260" spans="1:13" x14ac:dyDescent="0.3">
      <c r="A260" t="s">
        <v>268</v>
      </c>
      <c r="B260" s="4">
        <v>45753</v>
      </c>
      <c r="C260" t="s">
        <v>568</v>
      </c>
      <c r="D260" t="s">
        <v>605</v>
      </c>
      <c r="E260" t="s">
        <v>631</v>
      </c>
      <c r="F260" t="s">
        <v>641</v>
      </c>
      <c r="G260">
        <v>2</v>
      </c>
      <c r="H260" s="1">
        <v>85</v>
      </c>
      <c r="I260" s="1">
        <v>44</v>
      </c>
      <c r="J260" s="2">
        <v>0.1</v>
      </c>
      <c r="K260" t="s">
        <v>643</v>
      </c>
      <c r="L260" t="s">
        <v>649</v>
      </c>
      <c r="M260" t="s">
        <v>666</v>
      </c>
    </row>
    <row r="261" spans="1:13" x14ac:dyDescent="0.3">
      <c r="A261" t="s">
        <v>269</v>
      </c>
      <c r="B261" s="4">
        <v>45791</v>
      </c>
      <c r="C261" t="s">
        <v>582</v>
      </c>
      <c r="D261" t="s">
        <v>613</v>
      </c>
      <c r="E261" t="s">
        <v>629</v>
      </c>
      <c r="F261" t="s">
        <v>640</v>
      </c>
      <c r="G261">
        <v>4</v>
      </c>
      <c r="H261" s="1">
        <v>92</v>
      </c>
      <c r="I261" s="1">
        <v>53</v>
      </c>
      <c r="J261" s="2">
        <v>0</v>
      </c>
      <c r="K261" t="s">
        <v>646</v>
      </c>
      <c r="L261" t="s">
        <v>648</v>
      </c>
      <c r="M261" t="s">
        <v>658</v>
      </c>
    </row>
    <row r="262" spans="1:13" x14ac:dyDescent="0.3">
      <c r="A262" t="s">
        <v>270</v>
      </c>
      <c r="B262" s="4">
        <v>45913</v>
      </c>
      <c r="C262" t="s">
        <v>571</v>
      </c>
      <c r="D262" t="s">
        <v>623</v>
      </c>
      <c r="E262" t="s">
        <v>629</v>
      </c>
      <c r="F262" t="s">
        <v>640</v>
      </c>
      <c r="G262">
        <v>2</v>
      </c>
      <c r="H262" s="1">
        <v>92</v>
      </c>
      <c r="I262" s="1">
        <v>53</v>
      </c>
      <c r="J262" s="2">
        <v>0.05</v>
      </c>
      <c r="K262" t="s">
        <v>647</v>
      </c>
      <c r="L262" t="s">
        <v>649</v>
      </c>
      <c r="M262" t="s">
        <v>664</v>
      </c>
    </row>
    <row r="263" spans="1:13" x14ac:dyDescent="0.3">
      <c r="A263" t="s">
        <v>271</v>
      </c>
      <c r="B263" s="4">
        <v>45931</v>
      </c>
      <c r="C263" t="s">
        <v>585</v>
      </c>
      <c r="D263" t="s">
        <v>619</v>
      </c>
      <c r="E263" t="s">
        <v>636</v>
      </c>
      <c r="F263" t="s">
        <v>641</v>
      </c>
      <c r="G263">
        <v>3</v>
      </c>
      <c r="H263" s="1">
        <v>245</v>
      </c>
      <c r="I263" s="1">
        <v>150</v>
      </c>
      <c r="J263" s="2">
        <v>0.2</v>
      </c>
      <c r="K263" t="s">
        <v>644</v>
      </c>
      <c r="L263" t="s">
        <v>649</v>
      </c>
      <c r="M263" t="s">
        <v>672</v>
      </c>
    </row>
    <row r="264" spans="1:13" x14ac:dyDescent="0.3">
      <c r="A264" t="s">
        <v>272</v>
      </c>
      <c r="B264" s="4">
        <v>45783</v>
      </c>
      <c r="C264" t="s">
        <v>569</v>
      </c>
      <c r="D264" t="s">
        <v>625</v>
      </c>
      <c r="E264" t="s">
        <v>636</v>
      </c>
      <c r="F264" t="s">
        <v>641</v>
      </c>
      <c r="G264">
        <v>1</v>
      </c>
      <c r="H264" s="1">
        <v>245</v>
      </c>
      <c r="I264" s="1">
        <v>150</v>
      </c>
      <c r="J264" s="2">
        <v>0.15</v>
      </c>
      <c r="K264" t="s">
        <v>647</v>
      </c>
      <c r="L264" t="s">
        <v>648</v>
      </c>
      <c r="M264" t="s">
        <v>662</v>
      </c>
    </row>
    <row r="265" spans="1:13" x14ac:dyDescent="0.3">
      <c r="A265" t="s">
        <v>273</v>
      </c>
      <c r="B265" s="4">
        <v>45888</v>
      </c>
      <c r="C265" t="s">
        <v>564</v>
      </c>
      <c r="D265" t="s">
        <v>608</v>
      </c>
      <c r="E265" t="s">
        <v>633</v>
      </c>
      <c r="F265" t="s">
        <v>638</v>
      </c>
      <c r="G265">
        <v>3</v>
      </c>
      <c r="H265" s="1">
        <v>210</v>
      </c>
      <c r="I265" s="1">
        <v>125</v>
      </c>
      <c r="J265" s="2">
        <v>0.15</v>
      </c>
      <c r="K265" t="s">
        <v>642</v>
      </c>
      <c r="L265" t="s">
        <v>649</v>
      </c>
      <c r="M265" t="s">
        <v>657</v>
      </c>
    </row>
    <row r="266" spans="1:13" x14ac:dyDescent="0.3">
      <c r="A266" t="s">
        <v>274</v>
      </c>
      <c r="B266" s="4">
        <v>45881</v>
      </c>
      <c r="C266" t="s">
        <v>567</v>
      </c>
      <c r="D266" t="s">
        <v>620</v>
      </c>
      <c r="E266" t="s">
        <v>634</v>
      </c>
      <c r="F266" t="s">
        <v>641</v>
      </c>
      <c r="G266">
        <v>5</v>
      </c>
      <c r="H266" s="1">
        <v>59</v>
      </c>
      <c r="I266" s="1">
        <v>30</v>
      </c>
      <c r="J266" s="2">
        <v>0.1</v>
      </c>
      <c r="K266" t="s">
        <v>643</v>
      </c>
      <c r="L266" t="s">
        <v>648</v>
      </c>
      <c r="M266" t="s">
        <v>660</v>
      </c>
    </row>
    <row r="267" spans="1:13" x14ac:dyDescent="0.3">
      <c r="A267" t="s">
        <v>275</v>
      </c>
      <c r="B267" s="4">
        <v>45742</v>
      </c>
      <c r="C267" t="s">
        <v>583</v>
      </c>
      <c r="D267" t="s">
        <v>599</v>
      </c>
      <c r="E267" t="s">
        <v>634</v>
      </c>
      <c r="F267" t="s">
        <v>641</v>
      </c>
      <c r="G267">
        <v>2</v>
      </c>
      <c r="H267" s="1">
        <v>59</v>
      </c>
      <c r="I267" s="1">
        <v>30</v>
      </c>
      <c r="J267" s="2">
        <v>0</v>
      </c>
      <c r="K267" t="s">
        <v>643</v>
      </c>
      <c r="L267" t="s">
        <v>648</v>
      </c>
      <c r="M267" t="s">
        <v>673</v>
      </c>
    </row>
    <row r="268" spans="1:13" x14ac:dyDescent="0.3">
      <c r="A268" t="s">
        <v>276</v>
      </c>
      <c r="B268" s="4">
        <v>45855</v>
      </c>
      <c r="C268" t="s">
        <v>584</v>
      </c>
      <c r="D268" t="s">
        <v>600</v>
      </c>
      <c r="E268" t="s">
        <v>633</v>
      </c>
      <c r="F268" t="s">
        <v>638</v>
      </c>
      <c r="G268">
        <v>3</v>
      </c>
      <c r="H268" s="1">
        <v>210</v>
      </c>
      <c r="I268" s="1">
        <v>125</v>
      </c>
      <c r="J268" s="2">
        <v>0.1</v>
      </c>
      <c r="K268" t="s">
        <v>646</v>
      </c>
      <c r="L268" t="s">
        <v>651</v>
      </c>
      <c r="M268" t="s">
        <v>675</v>
      </c>
    </row>
    <row r="269" spans="1:13" x14ac:dyDescent="0.3">
      <c r="A269" t="s">
        <v>277</v>
      </c>
      <c r="B269" s="4">
        <v>45958</v>
      </c>
      <c r="C269" t="s">
        <v>574</v>
      </c>
      <c r="D269" t="s">
        <v>601</v>
      </c>
      <c r="E269" t="s">
        <v>636</v>
      </c>
      <c r="F269" t="s">
        <v>641</v>
      </c>
      <c r="G269">
        <v>2</v>
      </c>
      <c r="H269" s="1">
        <v>245</v>
      </c>
      <c r="I269" s="1">
        <v>150</v>
      </c>
      <c r="J269" s="2">
        <v>0.15</v>
      </c>
      <c r="K269" t="s">
        <v>645</v>
      </c>
      <c r="L269" t="s">
        <v>651</v>
      </c>
      <c r="M269" t="s">
        <v>660</v>
      </c>
    </row>
    <row r="270" spans="1:13" x14ac:dyDescent="0.3">
      <c r="A270" t="s">
        <v>278</v>
      </c>
      <c r="B270" s="4">
        <v>45748</v>
      </c>
      <c r="C270" t="s">
        <v>582</v>
      </c>
      <c r="D270" t="s">
        <v>599</v>
      </c>
      <c r="E270" t="s">
        <v>636</v>
      </c>
      <c r="F270" t="s">
        <v>641</v>
      </c>
      <c r="G270">
        <v>3</v>
      </c>
      <c r="H270" s="1">
        <v>245</v>
      </c>
      <c r="I270" s="1">
        <v>150</v>
      </c>
      <c r="J270" s="2">
        <v>0.05</v>
      </c>
      <c r="K270" t="s">
        <v>645</v>
      </c>
      <c r="L270" t="s">
        <v>649</v>
      </c>
      <c r="M270" t="s">
        <v>658</v>
      </c>
    </row>
    <row r="271" spans="1:13" x14ac:dyDescent="0.3">
      <c r="A271" t="s">
        <v>279</v>
      </c>
      <c r="B271" s="4">
        <v>45967</v>
      </c>
      <c r="C271" t="s">
        <v>570</v>
      </c>
      <c r="D271" t="s">
        <v>623</v>
      </c>
      <c r="E271" t="s">
        <v>632</v>
      </c>
      <c r="F271" t="s">
        <v>639</v>
      </c>
      <c r="G271">
        <v>5</v>
      </c>
      <c r="H271" s="1">
        <v>42</v>
      </c>
      <c r="I271" s="1">
        <v>21</v>
      </c>
      <c r="J271" s="2">
        <v>0</v>
      </c>
      <c r="K271" t="s">
        <v>643</v>
      </c>
      <c r="L271" t="s">
        <v>648</v>
      </c>
      <c r="M271" t="s">
        <v>663</v>
      </c>
    </row>
    <row r="272" spans="1:13" x14ac:dyDescent="0.3">
      <c r="A272" t="s">
        <v>280</v>
      </c>
      <c r="B272" s="4">
        <v>45733</v>
      </c>
      <c r="C272" t="s">
        <v>587</v>
      </c>
      <c r="D272" t="s">
        <v>604</v>
      </c>
      <c r="E272" t="s">
        <v>631</v>
      </c>
      <c r="F272" t="s">
        <v>641</v>
      </c>
      <c r="G272">
        <v>4</v>
      </c>
      <c r="H272" s="1">
        <v>85</v>
      </c>
      <c r="I272" s="1">
        <v>44</v>
      </c>
      <c r="J272" s="2">
        <v>0</v>
      </c>
      <c r="K272" t="s">
        <v>643</v>
      </c>
      <c r="L272" t="s">
        <v>651</v>
      </c>
      <c r="M272" t="s">
        <v>664</v>
      </c>
    </row>
    <row r="273" spans="1:13" x14ac:dyDescent="0.3">
      <c r="A273" t="s">
        <v>281</v>
      </c>
      <c r="B273" s="4">
        <v>45857</v>
      </c>
      <c r="C273" t="s">
        <v>569</v>
      </c>
      <c r="D273" t="s">
        <v>606</v>
      </c>
      <c r="E273" t="s">
        <v>626</v>
      </c>
      <c r="F273" t="s">
        <v>638</v>
      </c>
      <c r="G273">
        <v>3</v>
      </c>
      <c r="H273" s="1">
        <v>36</v>
      </c>
      <c r="I273" s="1">
        <v>16</v>
      </c>
      <c r="J273" s="2">
        <v>0.05</v>
      </c>
      <c r="K273" t="s">
        <v>643</v>
      </c>
      <c r="L273" t="s">
        <v>648</v>
      </c>
      <c r="M273" t="s">
        <v>662</v>
      </c>
    </row>
    <row r="274" spans="1:13" x14ac:dyDescent="0.3">
      <c r="A274" t="s">
        <v>282</v>
      </c>
      <c r="B274" s="4">
        <v>45798</v>
      </c>
      <c r="C274" t="s">
        <v>566</v>
      </c>
      <c r="D274" t="s">
        <v>619</v>
      </c>
      <c r="E274" t="s">
        <v>630</v>
      </c>
      <c r="F274" t="s">
        <v>640</v>
      </c>
      <c r="G274">
        <v>2</v>
      </c>
      <c r="H274" s="1">
        <v>78</v>
      </c>
      <c r="I274" s="1">
        <v>45</v>
      </c>
      <c r="J274" s="2">
        <v>0</v>
      </c>
      <c r="L274" t="s">
        <v>653</v>
      </c>
      <c r="M274" t="s">
        <v>659</v>
      </c>
    </row>
    <row r="275" spans="1:13" x14ac:dyDescent="0.3">
      <c r="A275" t="s">
        <v>283</v>
      </c>
      <c r="B275" s="4">
        <v>45818</v>
      </c>
      <c r="C275" t="s">
        <v>584</v>
      </c>
      <c r="D275" t="s">
        <v>599</v>
      </c>
      <c r="E275" t="s">
        <v>634</v>
      </c>
      <c r="F275" t="s">
        <v>641</v>
      </c>
      <c r="G275">
        <v>3</v>
      </c>
      <c r="H275" s="1">
        <v>59</v>
      </c>
      <c r="I275" s="1">
        <v>30</v>
      </c>
      <c r="J275" s="2">
        <v>0.15</v>
      </c>
      <c r="K275" t="s">
        <v>644</v>
      </c>
      <c r="L275" t="s">
        <v>649</v>
      </c>
      <c r="M275" t="s">
        <v>675</v>
      </c>
    </row>
    <row r="276" spans="1:13" x14ac:dyDescent="0.3">
      <c r="A276" t="s">
        <v>284</v>
      </c>
      <c r="B276" s="4">
        <v>45991</v>
      </c>
      <c r="C276" t="s">
        <v>580</v>
      </c>
      <c r="D276" t="s">
        <v>611</v>
      </c>
      <c r="E276" t="s">
        <v>636</v>
      </c>
      <c r="F276" t="s">
        <v>641</v>
      </c>
      <c r="G276">
        <v>1</v>
      </c>
      <c r="H276" s="1">
        <v>245</v>
      </c>
      <c r="I276" s="1">
        <v>150</v>
      </c>
      <c r="J276" s="2">
        <v>0.15</v>
      </c>
      <c r="K276" t="s">
        <v>646</v>
      </c>
      <c r="L276" t="s">
        <v>648</v>
      </c>
      <c r="M276" t="s">
        <v>672</v>
      </c>
    </row>
    <row r="277" spans="1:13" x14ac:dyDescent="0.3">
      <c r="A277" t="s">
        <v>285</v>
      </c>
      <c r="B277" s="4">
        <v>45878</v>
      </c>
      <c r="C277" t="s">
        <v>582</v>
      </c>
      <c r="D277" t="s">
        <v>606</v>
      </c>
      <c r="E277" t="s">
        <v>632</v>
      </c>
      <c r="F277" t="s">
        <v>639</v>
      </c>
      <c r="G277">
        <v>3</v>
      </c>
      <c r="H277" s="1">
        <v>42</v>
      </c>
      <c r="I277" s="1">
        <v>21</v>
      </c>
      <c r="J277" s="2">
        <v>0.1</v>
      </c>
      <c r="K277" t="s">
        <v>643</v>
      </c>
      <c r="L277" t="s">
        <v>650</v>
      </c>
      <c r="M277" t="s">
        <v>658</v>
      </c>
    </row>
    <row r="278" spans="1:13" x14ac:dyDescent="0.3">
      <c r="A278" t="s">
        <v>286</v>
      </c>
      <c r="B278" s="4">
        <v>45914</v>
      </c>
      <c r="C278" t="s">
        <v>564</v>
      </c>
      <c r="D278" t="s">
        <v>607</v>
      </c>
      <c r="E278" t="s">
        <v>628</v>
      </c>
      <c r="F278" t="s">
        <v>639</v>
      </c>
      <c r="G278">
        <v>5</v>
      </c>
      <c r="H278" s="1">
        <v>18</v>
      </c>
      <c r="I278" s="1">
        <v>7</v>
      </c>
      <c r="J278" s="2">
        <v>0.05</v>
      </c>
      <c r="K278" t="s">
        <v>645</v>
      </c>
      <c r="L278" t="s">
        <v>649</v>
      </c>
      <c r="M278" t="s">
        <v>657</v>
      </c>
    </row>
    <row r="279" spans="1:13" x14ac:dyDescent="0.3">
      <c r="A279" t="s">
        <v>287</v>
      </c>
      <c r="B279" s="4">
        <v>45768</v>
      </c>
      <c r="C279" t="s">
        <v>566</v>
      </c>
      <c r="D279" t="s">
        <v>618</v>
      </c>
      <c r="E279" t="s">
        <v>627</v>
      </c>
      <c r="F279" t="s">
        <v>639</v>
      </c>
      <c r="G279">
        <v>3</v>
      </c>
      <c r="H279" s="1">
        <v>38</v>
      </c>
      <c r="I279" s="1">
        <v>17</v>
      </c>
      <c r="J279" s="2">
        <v>0.1</v>
      </c>
      <c r="K279" t="s">
        <v>644</v>
      </c>
      <c r="L279" t="s">
        <v>649</v>
      </c>
      <c r="M279" t="s">
        <v>659</v>
      </c>
    </row>
    <row r="280" spans="1:13" x14ac:dyDescent="0.3">
      <c r="A280" t="s">
        <v>288</v>
      </c>
      <c r="B280" s="4">
        <v>45761</v>
      </c>
      <c r="C280" t="s">
        <v>564</v>
      </c>
      <c r="D280" t="s">
        <v>619</v>
      </c>
      <c r="E280" t="s">
        <v>635</v>
      </c>
      <c r="F280" t="s">
        <v>639</v>
      </c>
      <c r="G280">
        <v>1</v>
      </c>
      <c r="H280" s="1">
        <v>65</v>
      </c>
      <c r="I280" s="1">
        <v>31</v>
      </c>
      <c r="J280" s="2">
        <v>0.15</v>
      </c>
      <c r="K280" t="s">
        <v>642</v>
      </c>
      <c r="L280" t="s">
        <v>650</v>
      </c>
      <c r="M280" t="s">
        <v>657</v>
      </c>
    </row>
    <row r="281" spans="1:13" x14ac:dyDescent="0.3">
      <c r="A281" t="s">
        <v>289</v>
      </c>
      <c r="B281" s="4">
        <v>45930</v>
      </c>
      <c r="C281" t="s">
        <v>571</v>
      </c>
      <c r="D281" t="s">
        <v>602</v>
      </c>
      <c r="E281" t="s">
        <v>628</v>
      </c>
      <c r="F281" t="s">
        <v>639</v>
      </c>
      <c r="G281">
        <v>5</v>
      </c>
      <c r="H281" s="1">
        <v>18</v>
      </c>
      <c r="I281" s="1">
        <v>7</v>
      </c>
      <c r="J281" s="2">
        <v>0.05</v>
      </c>
      <c r="K281" t="s">
        <v>646</v>
      </c>
      <c r="L281" t="s">
        <v>648</v>
      </c>
      <c r="M281" t="s">
        <v>664</v>
      </c>
    </row>
    <row r="282" spans="1:13" x14ac:dyDescent="0.3">
      <c r="A282" t="s">
        <v>290</v>
      </c>
      <c r="B282" s="4">
        <v>45755</v>
      </c>
      <c r="C282" t="s">
        <v>567</v>
      </c>
      <c r="D282" t="s">
        <v>609</v>
      </c>
      <c r="E282" t="s">
        <v>626</v>
      </c>
      <c r="F282" t="s">
        <v>638</v>
      </c>
      <c r="G282">
        <v>5</v>
      </c>
      <c r="H282" s="1">
        <v>36</v>
      </c>
      <c r="I282" s="1">
        <v>16</v>
      </c>
      <c r="J282" s="2">
        <v>0</v>
      </c>
      <c r="K282" t="s">
        <v>643</v>
      </c>
      <c r="L282" t="s">
        <v>651</v>
      </c>
      <c r="M282" t="s">
        <v>660</v>
      </c>
    </row>
    <row r="283" spans="1:13" x14ac:dyDescent="0.3">
      <c r="A283" t="s">
        <v>291</v>
      </c>
      <c r="B283" s="4">
        <v>45731</v>
      </c>
      <c r="C283" t="s">
        <v>577</v>
      </c>
      <c r="D283" t="s">
        <v>616</v>
      </c>
      <c r="E283" t="s">
        <v>630</v>
      </c>
      <c r="F283" t="s">
        <v>640</v>
      </c>
      <c r="G283">
        <v>1</v>
      </c>
      <c r="H283" s="1">
        <v>78</v>
      </c>
      <c r="I283" s="1">
        <v>45</v>
      </c>
      <c r="J283" s="2">
        <v>0.1</v>
      </c>
      <c r="K283" t="s">
        <v>642</v>
      </c>
      <c r="L283" t="s">
        <v>649</v>
      </c>
      <c r="M283" t="s">
        <v>670</v>
      </c>
    </row>
    <row r="284" spans="1:13" x14ac:dyDescent="0.3">
      <c r="A284" t="s">
        <v>292</v>
      </c>
      <c r="B284" s="4">
        <v>45995</v>
      </c>
      <c r="C284" t="s">
        <v>576</v>
      </c>
      <c r="D284" t="s">
        <v>611</v>
      </c>
      <c r="E284" t="s">
        <v>630</v>
      </c>
      <c r="F284" t="s">
        <v>640</v>
      </c>
      <c r="G284">
        <v>3</v>
      </c>
      <c r="H284" s="1">
        <v>78</v>
      </c>
      <c r="I284" s="1">
        <v>45</v>
      </c>
      <c r="J284" s="2">
        <v>0.05</v>
      </c>
      <c r="K284" t="s">
        <v>645</v>
      </c>
      <c r="L284" t="s">
        <v>649</v>
      </c>
      <c r="M284" t="s">
        <v>669</v>
      </c>
    </row>
    <row r="285" spans="1:13" x14ac:dyDescent="0.3">
      <c r="A285" t="s">
        <v>293</v>
      </c>
      <c r="B285" s="4">
        <v>45854</v>
      </c>
      <c r="C285" t="s">
        <v>566</v>
      </c>
      <c r="D285" t="s">
        <v>602</v>
      </c>
      <c r="E285" t="s">
        <v>630</v>
      </c>
      <c r="F285" t="s">
        <v>640</v>
      </c>
      <c r="G285">
        <v>3</v>
      </c>
      <c r="H285" s="1">
        <v>78</v>
      </c>
      <c r="I285" s="1">
        <v>45</v>
      </c>
      <c r="J285" s="2">
        <v>0</v>
      </c>
      <c r="K285" t="s">
        <v>645</v>
      </c>
      <c r="L285" t="s">
        <v>648</v>
      </c>
      <c r="M285" t="s">
        <v>659</v>
      </c>
    </row>
    <row r="286" spans="1:13" x14ac:dyDescent="0.3">
      <c r="A286" t="s">
        <v>294</v>
      </c>
      <c r="B286" s="4">
        <v>45762</v>
      </c>
      <c r="C286" t="s">
        <v>571</v>
      </c>
      <c r="D286" t="s">
        <v>601</v>
      </c>
      <c r="E286" t="s">
        <v>632</v>
      </c>
      <c r="F286" t="s">
        <v>639</v>
      </c>
      <c r="G286">
        <v>3</v>
      </c>
      <c r="H286" s="1">
        <v>42</v>
      </c>
      <c r="I286" s="1">
        <v>21</v>
      </c>
      <c r="J286" s="2">
        <v>0</v>
      </c>
      <c r="K286" t="s">
        <v>646</v>
      </c>
      <c r="L286" t="s">
        <v>650</v>
      </c>
      <c r="M286" t="s">
        <v>664</v>
      </c>
    </row>
    <row r="287" spans="1:13" x14ac:dyDescent="0.3">
      <c r="A287" t="s">
        <v>295</v>
      </c>
      <c r="B287" s="4">
        <v>45923</v>
      </c>
      <c r="C287" t="s">
        <v>571</v>
      </c>
      <c r="D287" t="s">
        <v>606</v>
      </c>
      <c r="E287" t="s">
        <v>630</v>
      </c>
      <c r="F287" t="s">
        <v>640</v>
      </c>
      <c r="G287">
        <v>2</v>
      </c>
      <c r="H287" s="1">
        <v>78</v>
      </c>
      <c r="I287" s="1">
        <v>45</v>
      </c>
      <c r="J287" s="2">
        <v>0</v>
      </c>
      <c r="K287" t="s">
        <v>643</v>
      </c>
      <c r="L287" t="s">
        <v>651</v>
      </c>
      <c r="M287" t="s">
        <v>664</v>
      </c>
    </row>
    <row r="288" spans="1:13" x14ac:dyDescent="0.3">
      <c r="A288" t="s">
        <v>296</v>
      </c>
      <c r="B288" s="4">
        <v>45985</v>
      </c>
      <c r="C288" t="s">
        <v>584</v>
      </c>
      <c r="D288" t="s">
        <v>608</v>
      </c>
      <c r="E288" t="s">
        <v>628</v>
      </c>
      <c r="F288" t="s">
        <v>639</v>
      </c>
      <c r="G288">
        <v>2</v>
      </c>
      <c r="H288" s="1">
        <v>18</v>
      </c>
      <c r="I288" s="1">
        <v>7</v>
      </c>
      <c r="J288" s="2">
        <v>0</v>
      </c>
      <c r="K288" t="s">
        <v>644</v>
      </c>
      <c r="L288" t="s">
        <v>648</v>
      </c>
      <c r="M288" t="s">
        <v>675</v>
      </c>
    </row>
    <row r="289" spans="1:13" x14ac:dyDescent="0.3">
      <c r="A289" t="s">
        <v>297</v>
      </c>
      <c r="B289" s="4">
        <v>45924</v>
      </c>
      <c r="C289" t="s">
        <v>571</v>
      </c>
      <c r="D289" t="s">
        <v>620</v>
      </c>
      <c r="E289" t="s">
        <v>636</v>
      </c>
      <c r="F289" t="s">
        <v>641</v>
      </c>
      <c r="G289">
        <v>3</v>
      </c>
      <c r="H289" s="1">
        <v>245</v>
      </c>
      <c r="I289" s="1">
        <v>150</v>
      </c>
      <c r="J289" s="2">
        <v>0</v>
      </c>
      <c r="K289" t="s">
        <v>646</v>
      </c>
      <c r="L289" t="s">
        <v>650</v>
      </c>
      <c r="M289" t="s">
        <v>664</v>
      </c>
    </row>
    <row r="290" spans="1:13" x14ac:dyDescent="0.3">
      <c r="A290" t="s">
        <v>298</v>
      </c>
      <c r="B290" s="4">
        <v>45811</v>
      </c>
      <c r="C290" t="s">
        <v>568</v>
      </c>
      <c r="D290" t="s">
        <v>609</v>
      </c>
      <c r="E290" t="s">
        <v>629</v>
      </c>
      <c r="F290" t="s">
        <v>640</v>
      </c>
      <c r="G290">
        <v>1</v>
      </c>
      <c r="H290" s="1">
        <v>92</v>
      </c>
      <c r="I290" s="1">
        <v>53</v>
      </c>
      <c r="J290" s="2">
        <v>0</v>
      </c>
      <c r="K290" t="s">
        <v>643</v>
      </c>
      <c r="L290" t="s">
        <v>648</v>
      </c>
      <c r="M290" t="s">
        <v>666</v>
      </c>
    </row>
    <row r="291" spans="1:13" x14ac:dyDescent="0.3">
      <c r="A291" t="s">
        <v>299</v>
      </c>
      <c r="B291" s="4">
        <v>45731</v>
      </c>
      <c r="C291" t="s">
        <v>584</v>
      </c>
      <c r="D291" t="s">
        <v>607</v>
      </c>
      <c r="E291" t="s">
        <v>634</v>
      </c>
      <c r="F291" t="s">
        <v>641</v>
      </c>
      <c r="G291">
        <v>2</v>
      </c>
      <c r="H291" s="1">
        <v>59</v>
      </c>
      <c r="I291" s="1">
        <v>30</v>
      </c>
      <c r="J291" s="2">
        <v>0.15</v>
      </c>
      <c r="K291" t="s">
        <v>647</v>
      </c>
      <c r="L291" t="s">
        <v>651</v>
      </c>
      <c r="M291" t="s">
        <v>675</v>
      </c>
    </row>
    <row r="292" spans="1:13" x14ac:dyDescent="0.3">
      <c r="A292" t="s">
        <v>300</v>
      </c>
      <c r="B292" s="4">
        <v>45743</v>
      </c>
      <c r="C292" t="s">
        <v>565</v>
      </c>
      <c r="D292" t="s">
        <v>604</v>
      </c>
      <c r="E292" t="s">
        <v>631</v>
      </c>
      <c r="F292" t="s">
        <v>641</v>
      </c>
      <c r="G292">
        <v>1</v>
      </c>
      <c r="H292" s="1">
        <v>85</v>
      </c>
      <c r="I292" s="1">
        <v>44</v>
      </c>
      <c r="J292" s="2">
        <v>0.1</v>
      </c>
      <c r="K292" t="s">
        <v>644</v>
      </c>
      <c r="L292" t="s">
        <v>648</v>
      </c>
      <c r="M292" t="s">
        <v>658</v>
      </c>
    </row>
    <row r="293" spans="1:13" x14ac:dyDescent="0.3">
      <c r="A293" t="s">
        <v>301</v>
      </c>
      <c r="B293" s="4">
        <v>45888</v>
      </c>
      <c r="C293" t="s">
        <v>572</v>
      </c>
      <c r="D293" t="s">
        <v>604</v>
      </c>
      <c r="E293" t="s">
        <v>636</v>
      </c>
      <c r="F293" t="s">
        <v>641</v>
      </c>
      <c r="G293">
        <v>5</v>
      </c>
      <c r="H293" s="1">
        <v>245</v>
      </c>
      <c r="I293" s="1">
        <v>150</v>
      </c>
      <c r="J293" s="2">
        <v>0.05</v>
      </c>
      <c r="K293" t="s">
        <v>643</v>
      </c>
      <c r="L293" t="s">
        <v>648</v>
      </c>
      <c r="M293" t="s">
        <v>665</v>
      </c>
    </row>
    <row r="294" spans="1:13" x14ac:dyDescent="0.3">
      <c r="A294" t="s">
        <v>302</v>
      </c>
      <c r="B294" s="4">
        <v>45665</v>
      </c>
      <c r="C294" t="s">
        <v>566</v>
      </c>
      <c r="D294" t="s">
        <v>613</v>
      </c>
      <c r="E294" t="s">
        <v>627</v>
      </c>
      <c r="F294" t="s">
        <v>639</v>
      </c>
      <c r="G294">
        <v>5</v>
      </c>
      <c r="H294" s="1">
        <v>38</v>
      </c>
      <c r="I294" s="1">
        <v>17</v>
      </c>
      <c r="J294" s="2">
        <v>0</v>
      </c>
      <c r="K294" t="s">
        <v>643</v>
      </c>
      <c r="L294" t="s">
        <v>648</v>
      </c>
      <c r="M294" t="s">
        <v>659</v>
      </c>
    </row>
    <row r="295" spans="1:13" x14ac:dyDescent="0.3">
      <c r="A295" t="s">
        <v>303</v>
      </c>
      <c r="B295" s="4">
        <v>45997</v>
      </c>
      <c r="C295" t="s">
        <v>566</v>
      </c>
      <c r="D295" t="s">
        <v>622</v>
      </c>
      <c r="E295" t="s">
        <v>637</v>
      </c>
      <c r="F295" t="s">
        <v>641</v>
      </c>
      <c r="G295">
        <v>3</v>
      </c>
      <c r="H295" s="1">
        <v>175</v>
      </c>
      <c r="I295" s="1">
        <v>105</v>
      </c>
      <c r="J295" s="2">
        <v>0</v>
      </c>
      <c r="K295" t="s">
        <v>645</v>
      </c>
      <c r="L295" t="s">
        <v>650</v>
      </c>
      <c r="M295" t="s">
        <v>659</v>
      </c>
    </row>
    <row r="296" spans="1:13" x14ac:dyDescent="0.3">
      <c r="A296" t="s">
        <v>304</v>
      </c>
      <c r="B296" s="4">
        <v>45675</v>
      </c>
      <c r="C296" t="s">
        <v>584</v>
      </c>
      <c r="D296" t="s">
        <v>608</v>
      </c>
      <c r="E296" t="s">
        <v>627</v>
      </c>
      <c r="F296" t="s">
        <v>639</v>
      </c>
      <c r="G296">
        <v>1</v>
      </c>
      <c r="H296" s="1">
        <v>38</v>
      </c>
      <c r="I296" s="1">
        <v>17</v>
      </c>
      <c r="J296" s="2">
        <v>0</v>
      </c>
      <c r="K296" t="s">
        <v>645</v>
      </c>
      <c r="L296" t="s">
        <v>649</v>
      </c>
      <c r="M296" t="s">
        <v>675</v>
      </c>
    </row>
    <row r="297" spans="1:13" x14ac:dyDescent="0.3">
      <c r="A297" t="s">
        <v>305</v>
      </c>
      <c r="B297" s="4">
        <v>45669</v>
      </c>
      <c r="C297" t="s">
        <v>573</v>
      </c>
      <c r="D297" t="s">
        <v>622</v>
      </c>
      <c r="E297" t="s">
        <v>628</v>
      </c>
      <c r="F297" t="s">
        <v>639</v>
      </c>
      <c r="G297">
        <v>1</v>
      </c>
      <c r="H297" s="1">
        <v>18</v>
      </c>
      <c r="I297" s="1">
        <v>7</v>
      </c>
      <c r="J297" s="2">
        <v>0.05</v>
      </c>
      <c r="K297" t="s">
        <v>642</v>
      </c>
      <c r="L297" t="s">
        <v>648</v>
      </c>
      <c r="M297" t="s">
        <v>667</v>
      </c>
    </row>
    <row r="298" spans="1:13" x14ac:dyDescent="0.3">
      <c r="A298" t="s">
        <v>306</v>
      </c>
      <c r="B298" s="4">
        <v>45700</v>
      </c>
      <c r="C298" t="s">
        <v>577</v>
      </c>
      <c r="D298" t="s">
        <v>605</v>
      </c>
      <c r="E298" t="s">
        <v>629</v>
      </c>
      <c r="F298" t="s">
        <v>640</v>
      </c>
      <c r="G298">
        <v>1</v>
      </c>
      <c r="H298" s="1">
        <v>92</v>
      </c>
      <c r="I298" s="1">
        <v>53</v>
      </c>
      <c r="J298" s="2">
        <v>0.05</v>
      </c>
      <c r="K298" t="s">
        <v>642</v>
      </c>
      <c r="L298" t="s">
        <v>648</v>
      </c>
      <c r="M298" t="s">
        <v>670</v>
      </c>
    </row>
    <row r="299" spans="1:13" x14ac:dyDescent="0.3">
      <c r="A299" t="s">
        <v>307</v>
      </c>
      <c r="B299" s="4">
        <v>45945</v>
      </c>
      <c r="C299" t="s">
        <v>583</v>
      </c>
      <c r="D299" t="s">
        <v>611</v>
      </c>
      <c r="E299" t="s">
        <v>630</v>
      </c>
      <c r="F299" t="s">
        <v>640</v>
      </c>
      <c r="G299">
        <v>2</v>
      </c>
      <c r="H299" s="1">
        <v>78</v>
      </c>
      <c r="I299" s="1">
        <v>45</v>
      </c>
      <c r="J299" s="2">
        <v>0.1</v>
      </c>
      <c r="K299" t="s">
        <v>643</v>
      </c>
      <c r="L299" t="s">
        <v>648</v>
      </c>
      <c r="M299" t="s">
        <v>673</v>
      </c>
    </row>
    <row r="300" spans="1:13" x14ac:dyDescent="0.3">
      <c r="A300" t="s">
        <v>308</v>
      </c>
      <c r="B300" s="4">
        <v>45867</v>
      </c>
      <c r="C300" t="s">
        <v>568</v>
      </c>
      <c r="D300" t="s">
        <v>625</v>
      </c>
      <c r="E300" t="s">
        <v>630</v>
      </c>
      <c r="F300" t="s">
        <v>640</v>
      </c>
      <c r="G300">
        <v>3</v>
      </c>
      <c r="H300" s="1">
        <v>78</v>
      </c>
      <c r="I300" s="1">
        <v>45</v>
      </c>
      <c r="J300" s="2">
        <v>0.05</v>
      </c>
      <c r="K300" t="s">
        <v>644</v>
      </c>
      <c r="L300" t="s">
        <v>652</v>
      </c>
      <c r="M300" t="s">
        <v>666</v>
      </c>
    </row>
    <row r="301" spans="1:13" x14ac:dyDescent="0.3">
      <c r="A301" t="s">
        <v>309</v>
      </c>
      <c r="B301" s="4">
        <v>45674</v>
      </c>
      <c r="C301" t="s">
        <v>594</v>
      </c>
      <c r="D301" t="s">
        <v>618</v>
      </c>
      <c r="E301" t="s">
        <v>633</v>
      </c>
      <c r="F301" t="s">
        <v>638</v>
      </c>
      <c r="G301">
        <v>1</v>
      </c>
      <c r="H301" s="1">
        <v>210</v>
      </c>
      <c r="I301" s="1">
        <v>125</v>
      </c>
      <c r="J301" s="2">
        <v>0.1</v>
      </c>
      <c r="K301" t="s">
        <v>647</v>
      </c>
      <c r="L301" t="s">
        <v>648</v>
      </c>
      <c r="M301" t="s">
        <v>668</v>
      </c>
    </row>
    <row r="302" spans="1:13" x14ac:dyDescent="0.3">
      <c r="A302" t="s">
        <v>310</v>
      </c>
      <c r="B302" s="4">
        <v>45682</v>
      </c>
      <c r="C302" t="s">
        <v>595</v>
      </c>
      <c r="D302" t="s">
        <v>622</v>
      </c>
      <c r="E302" t="s">
        <v>629</v>
      </c>
      <c r="F302" t="s">
        <v>640</v>
      </c>
      <c r="G302">
        <v>1</v>
      </c>
      <c r="H302" s="1">
        <v>92</v>
      </c>
      <c r="I302" s="1">
        <v>53</v>
      </c>
      <c r="J302" s="2">
        <v>0.1</v>
      </c>
      <c r="K302" t="s">
        <v>643</v>
      </c>
      <c r="L302" t="s">
        <v>651</v>
      </c>
      <c r="M302" t="s">
        <v>670</v>
      </c>
    </row>
    <row r="303" spans="1:13" x14ac:dyDescent="0.3">
      <c r="A303" t="s">
        <v>311</v>
      </c>
      <c r="B303" s="4">
        <v>45996</v>
      </c>
      <c r="C303" t="s">
        <v>583</v>
      </c>
      <c r="D303" t="s">
        <v>600</v>
      </c>
      <c r="E303" t="s">
        <v>632</v>
      </c>
      <c r="F303" t="s">
        <v>639</v>
      </c>
      <c r="G303">
        <v>3</v>
      </c>
      <c r="H303" s="1">
        <v>42</v>
      </c>
      <c r="I303" s="1">
        <v>21</v>
      </c>
      <c r="J303" s="2">
        <v>0</v>
      </c>
      <c r="K303" t="s">
        <v>644</v>
      </c>
      <c r="L303" t="s">
        <v>648</v>
      </c>
      <c r="M303" t="s">
        <v>673</v>
      </c>
    </row>
    <row r="304" spans="1:13" x14ac:dyDescent="0.3">
      <c r="A304" t="s">
        <v>312</v>
      </c>
      <c r="B304" s="4">
        <v>45842</v>
      </c>
      <c r="C304" t="s">
        <v>576</v>
      </c>
      <c r="D304" t="s">
        <v>623</v>
      </c>
      <c r="E304" t="s">
        <v>636</v>
      </c>
      <c r="F304" t="s">
        <v>641</v>
      </c>
      <c r="G304">
        <v>2</v>
      </c>
      <c r="H304" s="1">
        <v>245</v>
      </c>
      <c r="I304" s="1">
        <v>150</v>
      </c>
      <c r="J304" s="2">
        <v>0</v>
      </c>
      <c r="K304" t="s">
        <v>644</v>
      </c>
      <c r="L304" t="s">
        <v>651</v>
      </c>
      <c r="M304" t="s">
        <v>669</v>
      </c>
    </row>
    <row r="305" spans="1:13" x14ac:dyDescent="0.3">
      <c r="A305" t="s">
        <v>313</v>
      </c>
      <c r="B305" s="4">
        <v>45889</v>
      </c>
      <c r="C305" t="s">
        <v>563</v>
      </c>
      <c r="D305" t="s">
        <v>619</v>
      </c>
      <c r="E305" t="s">
        <v>632</v>
      </c>
      <c r="F305" t="s">
        <v>639</v>
      </c>
      <c r="G305">
        <v>3</v>
      </c>
      <c r="H305" s="1">
        <v>42</v>
      </c>
      <c r="I305" s="1">
        <v>21</v>
      </c>
      <c r="J305" s="2">
        <v>0</v>
      </c>
      <c r="K305" t="s">
        <v>642</v>
      </c>
      <c r="L305" t="s">
        <v>648</v>
      </c>
      <c r="M305" t="s">
        <v>656</v>
      </c>
    </row>
    <row r="306" spans="1:13" x14ac:dyDescent="0.3">
      <c r="A306" t="s">
        <v>314</v>
      </c>
      <c r="B306" s="4">
        <v>45913</v>
      </c>
      <c r="C306" t="s">
        <v>568</v>
      </c>
      <c r="D306" t="s">
        <v>606</v>
      </c>
      <c r="E306" t="s">
        <v>627</v>
      </c>
      <c r="F306" t="s">
        <v>639</v>
      </c>
      <c r="G306">
        <v>2</v>
      </c>
      <c r="H306" s="1">
        <v>38</v>
      </c>
      <c r="I306" s="1">
        <v>17</v>
      </c>
      <c r="J306" s="2">
        <v>0</v>
      </c>
      <c r="K306" t="s">
        <v>647</v>
      </c>
      <c r="L306" t="s">
        <v>648</v>
      </c>
      <c r="M306" t="s">
        <v>661</v>
      </c>
    </row>
    <row r="307" spans="1:13" x14ac:dyDescent="0.3">
      <c r="A307" t="s">
        <v>315</v>
      </c>
      <c r="B307" s="4">
        <v>45785</v>
      </c>
      <c r="C307" t="s">
        <v>584</v>
      </c>
      <c r="D307" t="s">
        <v>611</v>
      </c>
      <c r="E307" t="s">
        <v>635</v>
      </c>
      <c r="F307" t="s">
        <v>639</v>
      </c>
      <c r="G307">
        <v>3</v>
      </c>
      <c r="H307" s="1">
        <v>65</v>
      </c>
      <c r="I307" s="1">
        <v>31</v>
      </c>
      <c r="J307" s="2">
        <v>0</v>
      </c>
      <c r="K307" t="s">
        <v>643</v>
      </c>
      <c r="L307" t="s">
        <v>649</v>
      </c>
    </row>
    <row r="308" spans="1:13" x14ac:dyDescent="0.3">
      <c r="A308" t="s">
        <v>316</v>
      </c>
      <c r="B308" s="4">
        <v>45771</v>
      </c>
      <c r="C308" t="s">
        <v>567</v>
      </c>
      <c r="D308" t="s">
        <v>618</v>
      </c>
      <c r="E308" t="s">
        <v>634</v>
      </c>
      <c r="F308" t="s">
        <v>641</v>
      </c>
      <c r="G308">
        <v>5</v>
      </c>
      <c r="H308" s="1">
        <v>59</v>
      </c>
      <c r="I308" s="1">
        <v>30</v>
      </c>
      <c r="J308" s="2">
        <v>0.15</v>
      </c>
      <c r="K308" t="s">
        <v>645</v>
      </c>
      <c r="L308" t="s">
        <v>651</v>
      </c>
      <c r="M308" t="s">
        <v>660</v>
      </c>
    </row>
    <row r="309" spans="1:13" x14ac:dyDescent="0.3">
      <c r="A309" t="s">
        <v>317</v>
      </c>
      <c r="B309" s="4">
        <v>45658</v>
      </c>
      <c r="C309" t="s">
        <v>580</v>
      </c>
      <c r="D309" t="s">
        <v>618</v>
      </c>
      <c r="E309" t="s">
        <v>631</v>
      </c>
      <c r="F309" t="s">
        <v>641</v>
      </c>
      <c r="G309">
        <v>1</v>
      </c>
      <c r="H309" s="1">
        <v>85</v>
      </c>
      <c r="I309" s="1">
        <v>44</v>
      </c>
      <c r="J309" s="2">
        <v>0.15</v>
      </c>
      <c r="K309" t="s">
        <v>645</v>
      </c>
      <c r="L309" t="s">
        <v>648</v>
      </c>
      <c r="M309" t="s">
        <v>672</v>
      </c>
    </row>
    <row r="310" spans="1:13" x14ac:dyDescent="0.3">
      <c r="A310" t="s">
        <v>318</v>
      </c>
      <c r="B310" s="4">
        <v>45701</v>
      </c>
      <c r="C310" t="s">
        <v>584</v>
      </c>
      <c r="D310" t="s">
        <v>603</v>
      </c>
      <c r="E310" t="s">
        <v>637</v>
      </c>
      <c r="F310" t="s">
        <v>641</v>
      </c>
      <c r="G310">
        <v>1</v>
      </c>
      <c r="H310" s="1">
        <v>175</v>
      </c>
      <c r="I310" s="1">
        <v>105</v>
      </c>
      <c r="J310" s="2">
        <v>0</v>
      </c>
      <c r="K310" t="s">
        <v>645</v>
      </c>
      <c r="L310" t="s">
        <v>649</v>
      </c>
      <c r="M310" t="s">
        <v>675</v>
      </c>
    </row>
    <row r="311" spans="1:13" x14ac:dyDescent="0.3">
      <c r="A311" t="s">
        <v>319</v>
      </c>
      <c r="B311" s="4">
        <v>45983</v>
      </c>
      <c r="C311" t="s">
        <v>569</v>
      </c>
      <c r="D311" t="s">
        <v>607</v>
      </c>
      <c r="E311" t="s">
        <v>632</v>
      </c>
      <c r="F311" t="s">
        <v>639</v>
      </c>
      <c r="G311">
        <v>5</v>
      </c>
      <c r="H311" s="1">
        <v>42</v>
      </c>
      <c r="I311" s="1">
        <v>21</v>
      </c>
      <c r="J311" s="2">
        <v>0</v>
      </c>
      <c r="K311" t="s">
        <v>643</v>
      </c>
      <c r="L311" t="s">
        <v>648</v>
      </c>
      <c r="M311" t="s">
        <v>662</v>
      </c>
    </row>
    <row r="312" spans="1:13" x14ac:dyDescent="0.3">
      <c r="A312" t="s">
        <v>320</v>
      </c>
      <c r="B312" s="4">
        <v>45921</v>
      </c>
      <c r="C312" t="s">
        <v>571</v>
      </c>
      <c r="D312" t="s">
        <v>620</v>
      </c>
      <c r="E312" t="s">
        <v>629</v>
      </c>
      <c r="F312" t="s">
        <v>640</v>
      </c>
      <c r="G312">
        <v>3</v>
      </c>
      <c r="H312" s="1">
        <v>92</v>
      </c>
      <c r="I312" s="1">
        <v>53</v>
      </c>
      <c r="J312" s="2">
        <v>0</v>
      </c>
      <c r="K312" t="s">
        <v>647</v>
      </c>
      <c r="L312" t="s">
        <v>648</v>
      </c>
      <c r="M312" t="s">
        <v>664</v>
      </c>
    </row>
    <row r="313" spans="1:13" x14ac:dyDescent="0.3">
      <c r="A313" t="s">
        <v>321</v>
      </c>
      <c r="B313" s="4">
        <v>45880</v>
      </c>
      <c r="C313" t="s">
        <v>568</v>
      </c>
      <c r="D313" t="s">
        <v>618</v>
      </c>
      <c r="E313" t="s">
        <v>629</v>
      </c>
      <c r="F313" t="s">
        <v>640</v>
      </c>
      <c r="G313">
        <v>5</v>
      </c>
      <c r="H313" s="1">
        <v>92</v>
      </c>
      <c r="I313" s="1">
        <v>53</v>
      </c>
      <c r="J313" s="2">
        <v>0</v>
      </c>
      <c r="K313" t="s">
        <v>645</v>
      </c>
      <c r="L313" t="s">
        <v>649</v>
      </c>
      <c r="M313" t="s">
        <v>666</v>
      </c>
    </row>
    <row r="314" spans="1:13" x14ac:dyDescent="0.3">
      <c r="A314" t="s">
        <v>322</v>
      </c>
      <c r="B314" s="4">
        <v>45946</v>
      </c>
      <c r="C314" t="s">
        <v>571</v>
      </c>
      <c r="D314" t="s">
        <v>615</v>
      </c>
      <c r="E314" t="s">
        <v>637</v>
      </c>
      <c r="F314" t="s">
        <v>641</v>
      </c>
      <c r="G314">
        <v>2</v>
      </c>
      <c r="H314" s="1">
        <v>175</v>
      </c>
      <c r="I314" s="1">
        <v>105</v>
      </c>
      <c r="J314" s="2">
        <v>0</v>
      </c>
      <c r="K314" t="s">
        <v>642</v>
      </c>
      <c r="L314" t="s">
        <v>651</v>
      </c>
      <c r="M314" t="s">
        <v>664</v>
      </c>
    </row>
    <row r="315" spans="1:13" x14ac:dyDescent="0.3">
      <c r="A315" t="s">
        <v>323</v>
      </c>
      <c r="B315" s="4">
        <v>45979</v>
      </c>
      <c r="C315" t="s">
        <v>585</v>
      </c>
      <c r="D315" t="s">
        <v>608</v>
      </c>
      <c r="E315" t="s">
        <v>629</v>
      </c>
      <c r="F315" t="s">
        <v>640</v>
      </c>
      <c r="G315">
        <v>4</v>
      </c>
      <c r="H315" s="1">
        <v>92</v>
      </c>
      <c r="I315" s="1">
        <v>53</v>
      </c>
      <c r="J315" s="2">
        <v>0.15</v>
      </c>
      <c r="K315" t="s">
        <v>643</v>
      </c>
      <c r="L315" t="s">
        <v>650</v>
      </c>
    </row>
    <row r="316" spans="1:13" x14ac:dyDescent="0.3">
      <c r="A316" t="s">
        <v>324</v>
      </c>
      <c r="B316" s="4">
        <v>45978</v>
      </c>
      <c r="C316" t="s">
        <v>575</v>
      </c>
      <c r="D316" t="s">
        <v>608</v>
      </c>
      <c r="E316" t="s">
        <v>633</v>
      </c>
      <c r="F316" t="s">
        <v>638</v>
      </c>
      <c r="G316">
        <v>2</v>
      </c>
      <c r="H316" s="1">
        <v>210</v>
      </c>
      <c r="I316" s="1">
        <v>125</v>
      </c>
      <c r="J316" s="2">
        <v>0</v>
      </c>
      <c r="K316" t="s">
        <v>647</v>
      </c>
      <c r="L316" t="s">
        <v>650</v>
      </c>
      <c r="M316" t="s">
        <v>668</v>
      </c>
    </row>
    <row r="317" spans="1:13" x14ac:dyDescent="0.3">
      <c r="A317" t="s">
        <v>325</v>
      </c>
      <c r="B317" s="4">
        <v>45840</v>
      </c>
      <c r="C317" t="s">
        <v>578</v>
      </c>
      <c r="D317" t="s">
        <v>622</v>
      </c>
      <c r="E317" t="s">
        <v>632</v>
      </c>
      <c r="F317" t="s">
        <v>639</v>
      </c>
      <c r="G317">
        <v>1</v>
      </c>
      <c r="H317" s="1">
        <v>42</v>
      </c>
      <c r="I317" s="1">
        <v>21</v>
      </c>
      <c r="J317" s="2">
        <v>0</v>
      </c>
      <c r="K317" t="s">
        <v>647</v>
      </c>
      <c r="L317" t="s">
        <v>649</v>
      </c>
      <c r="M317" t="s">
        <v>671</v>
      </c>
    </row>
    <row r="318" spans="1:13" x14ac:dyDescent="0.3">
      <c r="A318" t="s">
        <v>326</v>
      </c>
      <c r="B318" s="4">
        <v>46017</v>
      </c>
      <c r="C318" t="s">
        <v>569</v>
      </c>
      <c r="D318" t="s">
        <v>615</v>
      </c>
      <c r="E318" t="s">
        <v>635</v>
      </c>
      <c r="F318" t="s">
        <v>639</v>
      </c>
      <c r="G318">
        <v>2</v>
      </c>
      <c r="H318" s="1">
        <v>65</v>
      </c>
      <c r="I318" s="1">
        <v>31</v>
      </c>
      <c r="J318" s="2">
        <v>0</v>
      </c>
      <c r="K318" t="s">
        <v>645</v>
      </c>
      <c r="L318" t="s">
        <v>648</v>
      </c>
      <c r="M318" t="s">
        <v>662</v>
      </c>
    </row>
    <row r="319" spans="1:13" x14ac:dyDescent="0.3">
      <c r="A319" t="s">
        <v>327</v>
      </c>
      <c r="B319" s="4">
        <v>45916</v>
      </c>
      <c r="C319" t="s">
        <v>567</v>
      </c>
      <c r="D319" t="s">
        <v>609</v>
      </c>
      <c r="E319" t="s">
        <v>633</v>
      </c>
      <c r="F319" t="s">
        <v>638</v>
      </c>
      <c r="G319">
        <v>1</v>
      </c>
      <c r="H319" s="1">
        <v>210</v>
      </c>
      <c r="I319" s="1">
        <v>125</v>
      </c>
      <c r="J319" s="2">
        <v>0</v>
      </c>
      <c r="K319" t="s">
        <v>646</v>
      </c>
      <c r="L319" t="s">
        <v>651</v>
      </c>
      <c r="M319" t="s">
        <v>660</v>
      </c>
    </row>
    <row r="320" spans="1:13" x14ac:dyDescent="0.3">
      <c r="A320" t="s">
        <v>328</v>
      </c>
      <c r="B320" s="4">
        <v>46016</v>
      </c>
      <c r="C320" t="s">
        <v>584</v>
      </c>
      <c r="D320" t="s">
        <v>623</v>
      </c>
      <c r="E320" t="s">
        <v>626</v>
      </c>
      <c r="F320" t="s">
        <v>638</v>
      </c>
      <c r="G320">
        <v>1</v>
      </c>
      <c r="H320" s="1">
        <v>36</v>
      </c>
      <c r="I320" s="1">
        <v>16</v>
      </c>
      <c r="J320" s="2">
        <v>0</v>
      </c>
      <c r="K320" t="s">
        <v>645</v>
      </c>
      <c r="L320" t="s">
        <v>649</v>
      </c>
      <c r="M320" t="s">
        <v>675</v>
      </c>
    </row>
    <row r="321" spans="1:13" x14ac:dyDescent="0.3">
      <c r="A321" t="s">
        <v>329</v>
      </c>
      <c r="B321" s="4">
        <v>45791</v>
      </c>
      <c r="C321" t="s">
        <v>575</v>
      </c>
      <c r="D321" t="s">
        <v>621</v>
      </c>
      <c r="E321" t="s">
        <v>634</v>
      </c>
      <c r="F321" t="s">
        <v>641</v>
      </c>
      <c r="G321">
        <v>5</v>
      </c>
      <c r="H321" s="1">
        <v>59</v>
      </c>
      <c r="I321" s="1">
        <v>30</v>
      </c>
      <c r="J321" s="2">
        <v>0</v>
      </c>
      <c r="K321" t="s">
        <v>646</v>
      </c>
      <c r="L321" t="s">
        <v>648</v>
      </c>
      <c r="M321" t="s">
        <v>668</v>
      </c>
    </row>
    <row r="322" spans="1:13" x14ac:dyDescent="0.3">
      <c r="A322" t="s">
        <v>330</v>
      </c>
      <c r="B322" s="4">
        <v>45763</v>
      </c>
      <c r="C322" t="s">
        <v>571</v>
      </c>
      <c r="D322" t="s">
        <v>621</v>
      </c>
      <c r="E322" t="s">
        <v>628</v>
      </c>
      <c r="F322" t="s">
        <v>639</v>
      </c>
      <c r="G322">
        <v>4</v>
      </c>
      <c r="H322" s="1">
        <v>18</v>
      </c>
      <c r="I322" s="1">
        <v>7</v>
      </c>
      <c r="J322" s="2">
        <v>0</v>
      </c>
      <c r="K322" t="s">
        <v>644</v>
      </c>
      <c r="L322" t="s">
        <v>648</v>
      </c>
      <c r="M322" t="s">
        <v>664</v>
      </c>
    </row>
    <row r="323" spans="1:13" x14ac:dyDescent="0.3">
      <c r="A323" t="s">
        <v>331</v>
      </c>
      <c r="B323" s="4">
        <v>45673</v>
      </c>
      <c r="C323" t="s">
        <v>587</v>
      </c>
      <c r="D323" t="s">
        <v>601</v>
      </c>
      <c r="E323" t="s">
        <v>633</v>
      </c>
      <c r="F323" t="s">
        <v>638</v>
      </c>
      <c r="G323">
        <v>1</v>
      </c>
      <c r="H323" s="1">
        <v>210</v>
      </c>
      <c r="I323" s="1">
        <v>125</v>
      </c>
      <c r="J323" s="2">
        <v>0.15</v>
      </c>
      <c r="K323" t="s">
        <v>644</v>
      </c>
      <c r="L323" t="s">
        <v>648</v>
      </c>
      <c r="M323" t="s">
        <v>664</v>
      </c>
    </row>
    <row r="324" spans="1:13" x14ac:dyDescent="0.3">
      <c r="A324" t="s">
        <v>332</v>
      </c>
      <c r="B324" s="4">
        <v>45734</v>
      </c>
      <c r="C324" t="s">
        <v>575</v>
      </c>
      <c r="D324" t="s">
        <v>613</v>
      </c>
      <c r="E324" t="s">
        <v>632</v>
      </c>
      <c r="F324" t="s">
        <v>639</v>
      </c>
      <c r="G324">
        <v>4</v>
      </c>
      <c r="H324" s="1">
        <v>42</v>
      </c>
      <c r="I324" s="1">
        <v>21</v>
      </c>
      <c r="J324" s="2">
        <v>0.2</v>
      </c>
      <c r="K324" t="s">
        <v>642</v>
      </c>
      <c r="L324" t="s">
        <v>648</v>
      </c>
      <c r="M324" t="s">
        <v>668</v>
      </c>
    </row>
    <row r="325" spans="1:13" x14ac:dyDescent="0.3">
      <c r="A325" t="s">
        <v>333</v>
      </c>
      <c r="B325" s="4">
        <v>45942</v>
      </c>
      <c r="C325" t="s">
        <v>569</v>
      </c>
      <c r="D325" t="s">
        <v>606</v>
      </c>
      <c r="E325" t="s">
        <v>626</v>
      </c>
      <c r="F325" t="s">
        <v>638</v>
      </c>
      <c r="G325">
        <v>1</v>
      </c>
      <c r="H325" s="1">
        <v>36</v>
      </c>
      <c r="I325" s="1">
        <v>16</v>
      </c>
      <c r="J325" s="2">
        <v>0.2</v>
      </c>
      <c r="K325" t="s">
        <v>646</v>
      </c>
      <c r="L325" t="s">
        <v>650</v>
      </c>
      <c r="M325" t="s">
        <v>662</v>
      </c>
    </row>
    <row r="326" spans="1:13" x14ac:dyDescent="0.3">
      <c r="A326" t="s">
        <v>334</v>
      </c>
      <c r="B326" s="4">
        <v>45988</v>
      </c>
      <c r="C326" t="s">
        <v>577</v>
      </c>
      <c r="D326" t="s">
        <v>607</v>
      </c>
      <c r="E326" t="s">
        <v>635</v>
      </c>
      <c r="F326" t="s">
        <v>639</v>
      </c>
      <c r="G326">
        <v>2</v>
      </c>
      <c r="H326" s="1">
        <v>65</v>
      </c>
      <c r="I326" s="1">
        <v>31</v>
      </c>
      <c r="J326" s="2">
        <v>0.05</v>
      </c>
      <c r="K326" t="s">
        <v>646</v>
      </c>
      <c r="L326" t="s">
        <v>648</v>
      </c>
      <c r="M326" t="s">
        <v>670</v>
      </c>
    </row>
    <row r="327" spans="1:13" x14ac:dyDescent="0.3">
      <c r="A327" t="s">
        <v>335</v>
      </c>
      <c r="B327" s="4">
        <v>45711</v>
      </c>
      <c r="C327" t="s">
        <v>569</v>
      </c>
      <c r="D327" t="s">
        <v>618</v>
      </c>
      <c r="E327" t="s">
        <v>631</v>
      </c>
      <c r="F327" t="s">
        <v>641</v>
      </c>
      <c r="G327">
        <v>2</v>
      </c>
      <c r="H327" s="1">
        <v>85</v>
      </c>
      <c r="I327" s="1">
        <v>44</v>
      </c>
      <c r="J327" s="2">
        <v>0</v>
      </c>
      <c r="K327" t="s">
        <v>646</v>
      </c>
      <c r="L327" t="s">
        <v>648</v>
      </c>
      <c r="M327" t="s">
        <v>662</v>
      </c>
    </row>
    <row r="328" spans="1:13" x14ac:dyDescent="0.3">
      <c r="A328" t="s">
        <v>336</v>
      </c>
      <c r="B328" s="4">
        <v>45786</v>
      </c>
      <c r="C328" t="s">
        <v>570</v>
      </c>
      <c r="D328" t="s">
        <v>615</v>
      </c>
      <c r="E328" t="s">
        <v>631</v>
      </c>
      <c r="F328" t="s">
        <v>641</v>
      </c>
      <c r="G328">
        <v>1</v>
      </c>
      <c r="H328" s="1">
        <v>85</v>
      </c>
      <c r="I328" s="1">
        <v>44</v>
      </c>
      <c r="J328" s="2">
        <v>0.1</v>
      </c>
      <c r="K328" t="s">
        <v>643</v>
      </c>
      <c r="L328" t="s">
        <v>650</v>
      </c>
      <c r="M328" t="s">
        <v>663</v>
      </c>
    </row>
    <row r="329" spans="1:13" x14ac:dyDescent="0.3">
      <c r="A329" t="s">
        <v>337</v>
      </c>
      <c r="B329" s="4">
        <v>45842</v>
      </c>
      <c r="C329" t="s">
        <v>567</v>
      </c>
      <c r="D329" t="s">
        <v>607</v>
      </c>
      <c r="E329" t="s">
        <v>635</v>
      </c>
      <c r="F329" t="s">
        <v>639</v>
      </c>
      <c r="G329">
        <v>2</v>
      </c>
      <c r="H329" s="1">
        <v>65</v>
      </c>
      <c r="I329" s="1">
        <v>31</v>
      </c>
      <c r="J329" s="2">
        <v>0.1</v>
      </c>
      <c r="K329" t="s">
        <v>645</v>
      </c>
      <c r="L329" t="s">
        <v>650</v>
      </c>
      <c r="M329" t="s">
        <v>660</v>
      </c>
    </row>
    <row r="330" spans="1:13" x14ac:dyDescent="0.3">
      <c r="A330" t="s">
        <v>338</v>
      </c>
      <c r="B330" s="4">
        <v>45963</v>
      </c>
      <c r="C330" t="s">
        <v>573</v>
      </c>
      <c r="D330" t="s">
        <v>622</v>
      </c>
      <c r="E330" t="s">
        <v>636</v>
      </c>
      <c r="F330" t="s">
        <v>641</v>
      </c>
      <c r="G330">
        <v>5</v>
      </c>
      <c r="H330" s="1">
        <v>245</v>
      </c>
      <c r="I330" s="1">
        <v>150</v>
      </c>
      <c r="J330" s="2">
        <v>0.05</v>
      </c>
      <c r="K330" t="s">
        <v>647</v>
      </c>
      <c r="L330" t="s">
        <v>648</v>
      </c>
      <c r="M330" t="s">
        <v>667</v>
      </c>
    </row>
    <row r="331" spans="1:13" x14ac:dyDescent="0.3">
      <c r="A331" t="s">
        <v>339</v>
      </c>
      <c r="B331" s="4">
        <v>45983</v>
      </c>
      <c r="C331" t="s">
        <v>572</v>
      </c>
      <c r="D331" t="s">
        <v>613</v>
      </c>
      <c r="E331" t="s">
        <v>630</v>
      </c>
      <c r="F331" t="s">
        <v>640</v>
      </c>
      <c r="G331">
        <v>5</v>
      </c>
      <c r="H331" s="1">
        <v>78</v>
      </c>
      <c r="I331" s="1">
        <v>45</v>
      </c>
      <c r="J331" s="2">
        <v>0.1</v>
      </c>
      <c r="K331" t="s">
        <v>644</v>
      </c>
      <c r="L331" t="s">
        <v>651</v>
      </c>
      <c r="M331" t="s">
        <v>665</v>
      </c>
    </row>
    <row r="332" spans="1:13" x14ac:dyDescent="0.3">
      <c r="A332" t="s">
        <v>340</v>
      </c>
      <c r="B332" s="4">
        <v>45753</v>
      </c>
      <c r="C332" t="s">
        <v>567</v>
      </c>
      <c r="D332" t="s">
        <v>608</v>
      </c>
      <c r="E332" t="s">
        <v>628</v>
      </c>
      <c r="F332" t="s">
        <v>639</v>
      </c>
      <c r="G332">
        <v>2</v>
      </c>
      <c r="H332" s="1">
        <v>18</v>
      </c>
      <c r="I332" s="1">
        <v>7</v>
      </c>
      <c r="J332" s="2">
        <v>0.05</v>
      </c>
      <c r="K332" t="s">
        <v>644</v>
      </c>
      <c r="L332" t="s">
        <v>650</v>
      </c>
      <c r="M332" t="s">
        <v>660</v>
      </c>
    </row>
    <row r="333" spans="1:13" x14ac:dyDescent="0.3">
      <c r="A333" t="s">
        <v>341</v>
      </c>
      <c r="B333" s="4">
        <v>45981</v>
      </c>
      <c r="C333" t="s">
        <v>570</v>
      </c>
      <c r="D333" t="s">
        <v>611</v>
      </c>
      <c r="E333" t="s">
        <v>636</v>
      </c>
      <c r="F333" t="s">
        <v>641</v>
      </c>
      <c r="G333">
        <v>3</v>
      </c>
      <c r="H333" s="1">
        <v>245</v>
      </c>
      <c r="I333" s="1">
        <v>150</v>
      </c>
      <c r="J333" s="2">
        <v>0.05</v>
      </c>
      <c r="K333" t="s">
        <v>645</v>
      </c>
      <c r="L333" t="s">
        <v>648</v>
      </c>
      <c r="M333" t="s">
        <v>663</v>
      </c>
    </row>
    <row r="334" spans="1:13" x14ac:dyDescent="0.3">
      <c r="A334" t="s">
        <v>342</v>
      </c>
      <c r="B334" s="4">
        <v>45704</v>
      </c>
      <c r="C334" t="s">
        <v>568</v>
      </c>
      <c r="D334" t="s">
        <v>609</v>
      </c>
      <c r="E334" t="s">
        <v>632</v>
      </c>
      <c r="F334" t="s">
        <v>639</v>
      </c>
      <c r="G334">
        <v>3</v>
      </c>
      <c r="H334" s="1">
        <v>42</v>
      </c>
      <c r="I334" s="1">
        <v>21</v>
      </c>
      <c r="J334" s="2">
        <v>0.15</v>
      </c>
      <c r="K334" t="s">
        <v>642</v>
      </c>
      <c r="L334" t="s">
        <v>651</v>
      </c>
      <c r="M334" t="s">
        <v>666</v>
      </c>
    </row>
    <row r="335" spans="1:13" x14ac:dyDescent="0.3">
      <c r="A335" t="s">
        <v>343</v>
      </c>
      <c r="B335" s="4">
        <v>45698</v>
      </c>
      <c r="C335" t="s">
        <v>576</v>
      </c>
      <c r="D335" t="s">
        <v>603</v>
      </c>
      <c r="E335" t="s">
        <v>626</v>
      </c>
      <c r="F335" t="s">
        <v>638</v>
      </c>
      <c r="G335">
        <v>2</v>
      </c>
      <c r="H335" s="1">
        <v>36</v>
      </c>
      <c r="I335" s="1">
        <v>16</v>
      </c>
      <c r="J335" s="2">
        <v>0</v>
      </c>
      <c r="K335" t="s">
        <v>644</v>
      </c>
      <c r="L335" t="s">
        <v>648</v>
      </c>
      <c r="M335" t="s">
        <v>669</v>
      </c>
    </row>
    <row r="336" spans="1:13" x14ac:dyDescent="0.3">
      <c r="A336" t="s">
        <v>344</v>
      </c>
      <c r="B336" s="4">
        <v>45758</v>
      </c>
      <c r="C336" t="s">
        <v>577</v>
      </c>
      <c r="D336" t="s">
        <v>602</v>
      </c>
      <c r="E336" t="s">
        <v>630</v>
      </c>
      <c r="F336" t="s">
        <v>640</v>
      </c>
      <c r="G336">
        <v>4</v>
      </c>
      <c r="H336" s="1">
        <v>78</v>
      </c>
      <c r="I336" s="1">
        <v>45</v>
      </c>
      <c r="J336" s="2">
        <v>0</v>
      </c>
      <c r="K336" t="s">
        <v>647</v>
      </c>
      <c r="L336" t="s">
        <v>648</v>
      </c>
      <c r="M336" t="s">
        <v>670</v>
      </c>
    </row>
    <row r="337" spans="1:13" x14ac:dyDescent="0.3">
      <c r="A337" t="s">
        <v>345</v>
      </c>
      <c r="B337" s="4">
        <v>45807</v>
      </c>
      <c r="C337" t="s">
        <v>567</v>
      </c>
      <c r="D337" t="s">
        <v>607</v>
      </c>
      <c r="E337" t="s">
        <v>637</v>
      </c>
      <c r="F337" t="s">
        <v>641</v>
      </c>
      <c r="G337">
        <v>3</v>
      </c>
      <c r="H337" s="1">
        <v>175</v>
      </c>
      <c r="I337" s="1">
        <v>105</v>
      </c>
      <c r="J337" s="2">
        <v>0</v>
      </c>
      <c r="K337" t="s">
        <v>647</v>
      </c>
      <c r="L337" t="s">
        <v>650</v>
      </c>
      <c r="M337" t="s">
        <v>660</v>
      </c>
    </row>
    <row r="338" spans="1:13" x14ac:dyDescent="0.3">
      <c r="A338" t="s">
        <v>346</v>
      </c>
      <c r="B338" s="4">
        <v>45716</v>
      </c>
      <c r="C338" t="s">
        <v>564</v>
      </c>
      <c r="E338" t="s">
        <v>632</v>
      </c>
      <c r="F338" t="s">
        <v>639</v>
      </c>
      <c r="G338">
        <v>4</v>
      </c>
      <c r="H338" s="1">
        <v>42</v>
      </c>
      <c r="I338" s="1">
        <v>21</v>
      </c>
      <c r="J338" s="2">
        <v>0</v>
      </c>
      <c r="K338" t="s">
        <v>645</v>
      </c>
      <c r="L338" t="s">
        <v>648</v>
      </c>
      <c r="M338" t="s">
        <v>657</v>
      </c>
    </row>
    <row r="339" spans="1:13" x14ac:dyDescent="0.3">
      <c r="A339" t="s">
        <v>347</v>
      </c>
      <c r="B339" s="4">
        <v>45823</v>
      </c>
      <c r="C339" t="s">
        <v>577</v>
      </c>
      <c r="D339" t="s">
        <v>601</v>
      </c>
      <c r="E339" t="s">
        <v>635</v>
      </c>
      <c r="F339" t="s">
        <v>639</v>
      </c>
      <c r="G339">
        <v>3</v>
      </c>
      <c r="H339" s="1">
        <v>65</v>
      </c>
      <c r="I339" s="1">
        <v>31</v>
      </c>
      <c r="J339" s="2">
        <v>0</v>
      </c>
      <c r="K339" t="s">
        <v>646</v>
      </c>
      <c r="L339" t="s">
        <v>648</v>
      </c>
      <c r="M339" t="s">
        <v>670</v>
      </c>
    </row>
    <row r="340" spans="1:13" x14ac:dyDescent="0.3">
      <c r="A340" t="s">
        <v>348</v>
      </c>
      <c r="B340" s="4">
        <v>45903</v>
      </c>
      <c r="C340" t="s">
        <v>571</v>
      </c>
      <c r="D340" t="s">
        <v>611</v>
      </c>
      <c r="E340" t="s">
        <v>636</v>
      </c>
      <c r="F340" t="s">
        <v>641</v>
      </c>
      <c r="G340">
        <v>3</v>
      </c>
      <c r="H340" s="1">
        <v>245</v>
      </c>
      <c r="I340" s="1">
        <v>150</v>
      </c>
      <c r="J340" s="2">
        <v>0</v>
      </c>
      <c r="K340" t="s">
        <v>644</v>
      </c>
      <c r="L340" t="s">
        <v>651</v>
      </c>
      <c r="M340" t="s">
        <v>664</v>
      </c>
    </row>
    <row r="341" spans="1:13" x14ac:dyDescent="0.3">
      <c r="A341" t="s">
        <v>349</v>
      </c>
      <c r="B341" s="4">
        <v>45745</v>
      </c>
      <c r="C341" t="s">
        <v>584</v>
      </c>
      <c r="D341" t="s">
        <v>607</v>
      </c>
      <c r="E341" t="s">
        <v>628</v>
      </c>
      <c r="F341" t="s">
        <v>639</v>
      </c>
      <c r="G341">
        <v>1</v>
      </c>
      <c r="H341" s="1">
        <v>18</v>
      </c>
      <c r="I341" s="1">
        <v>7</v>
      </c>
      <c r="J341" s="2">
        <v>0</v>
      </c>
      <c r="K341" t="s">
        <v>645</v>
      </c>
      <c r="L341" t="s">
        <v>648</v>
      </c>
      <c r="M341" t="s">
        <v>675</v>
      </c>
    </row>
    <row r="342" spans="1:13" x14ac:dyDescent="0.3">
      <c r="A342" t="s">
        <v>350</v>
      </c>
      <c r="B342" s="4">
        <v>45855</v>
      </c>
      <c r="C342" t="s">
        <v>563</v>
      </c>
      <c r="D342" t="s">
        <v>609</v>
      </c>
      <c r="E342" t="s">
        <v>636</v>
      </c>
      <c r="F342" t="s">
        <v>641</v>
      </c>
      <c r="G342">
        <v>5</v>
      </c>
      <c r="H342" s="1">
        <v>245</v>
      </c>
      <c r="I342" s="1">
        <v>150</v>
      </c>
      <c r="J342" s="2">
        <v>0.1</v>
      </c>
      <c r="K342" t="s">
        <v>644</v>
      </c>
      <c r="L342" t="s">
        <v>648</v>
      </c>
      <c r="M342" t="s">
        <v>656</v>
      </c>
    </row>
    <row r="343" spans="1:13" x14ac:dyDescent="0.3">
      <c r="A343" t="s">
        <v>49</v>
      </c>
      <c r="B343" s="4">
        <v>45983</v>
      </c>
      <c r="C343" t="s">
        <v>584</v>
      </c>
      <c r="D343" t="s">
        <v>613</v>
      </c>
      <c r="E343" t="s">
        <v>636</v>
      </c>
      <c r="F343" t="s">
        <v>641</v>
      </c>
      <c r="G343">
        <v>2</v>
      </c>
      <c r="H343" s="1">
        <v>245</v>
      </c>
      <c r="I343" s="1">
        <v>150</v>
      </c>
      <c r="J343" s="2">
        <v>0.1</v>
      </c>
      <c r="K343" t="s">
        <v>642</v>
      </c>
      <c r="L343" t="s">
        <v>648</v>
      </c>
      <c r="M343" t="s">
        <v>674</v>
      </c>
    </row>
    <row r="344" spans="1:13" x14ac:dyDescent="0.3">
      <c r="A344" t="s">
        <v>253</v>
      </c>
      <c r="B344" s="4">
        <v>45760</v>
      </c>
      <c r="C344" t="s">
        <v>577</v>
      </c>
      <c r="D344" t="s">
        <v>605</v>
      </c>
      <c r="E344" t="s">
        <v>637</v>
      </c>
      <c r="F344" t="s">
        <v>641</v>
      </c>
      <c r="G344">
        <v>5</v>
      </c>
      <c r="H344" s="1">
        <v>175</v>
      </c>
      <c r="I344" s="1">
        <v>105</v>
      </c>
      <c r="J344" s="2">
        <v>0.05</v>
      </c>
      <c r="K344" t="s">
        <v>646</v>
      </c>
      <c r="L344" t="s">
        <v>649</v>
      </c>
      <c r="M344" t="s">
        <v>670</v>
      </c>
    </row>
    <row r="345" spans="1:13" x14ac:dyDescent="0.3">
      <c r="A345" t="s">
        <v>351</v>
      </c>
      <c r="B345" s="4">
        <v>45727</v>
      </c>
      <c r="C345" t="s">
        <v>582</v>
      </c>
      <c r="D345" t="s">
        <v>611</v>
      </c>
      <c r="E345" t="s">
        <v>633</v>
      </c>
      <c r="F345" t="s">
        <v>638</v>
      </c>
      <c r="G345">
        <v>5</v>
      </c>
      <c r="H345" s="1">
        <v>210</v>
      </c>
      <c r="I345" s="1">
        <v>125</v>
      </c>
      <c r="J345" s="2">
        <v>0.05</v>
      </c>
      <c r="K345" t="s">
        <v>645</v>
      </c>
      <c r="L345" t="s">
        <v>648</v>
      </c>
      <c r="M345" t="s">
        <v>658</v>
      </c>
    </row>
    <row r="346" spans="1:13" x14ac:dyDescent="0.3">
      <c r="A346" t="s">
        <v>352</v>
      </c>
      <c r="B346" s="4">
        <v>45719</v>
      </c>
      <c r="C346" t="s">
        <v>576</v>
      </c>
      <c r="D346" t="s">
        <v>620</v>
      </c>
      <c r="E346" t="s">
        <v>629</v>
      </c>
      <c r="F346" t="s">
        <v>640</v>
      </c>
      <c r="G346">
        <v>4</v>
      </c>
      <c r="H346" s="1">
        <v>92</v>
      </c>
      <c r="I346" s="1">
        <v>53</v>
      </c>
      <c r="J346" s="2">
        <v>0</v>
      </c>
      <c r="K346" t="s">
        <v>645</v>
      </c>
      <c r="L346" t="s">
        <v>650</v>
      </c>
      <c r="M346" t="s">
        <v>669</v>
      </c>
    </row>
    <row r="347" spans="1:13" x14ac:dyDescent="0.3">
      <c r="A347" t="s">
        <v>353</v>
      </c>
      <c r="B347" s="4">
        <v>45841</v>
      </c>
      <c r="C347" t="s">
        <v>583</v>
      </c>
      <c r="D347" t="s">
        <v>614</v>
      </c>
      <c r="E347" t="s">
        <v>631</v>
      </c>
      <c r="F347" t="s">
        <v>641</v>
      </c>
      <c r="G347">
        <v>2</v>
      </c>
      <c r="H347" s="1">
        <v>85</v>
      </c>
      <c r="I347" s="1">
        <v>44</v>
      </c>
      <c r="J347" s="2">
        <v>0.1</v>
      </c>
      <c r="K347" t="s">
        <v>646</v>
      </c>
      <c r="L347" t="s">
        <v>648</v>
      </c>
      <c r="M347" t="s">
        <v>682</v>
      </c>
    </row>
    <row r="348" spans="1:13" x14ac:dyDescent="0.3">
      <c r="A348" t="s">
        <v>354</v>
      </c>
      <c r="B348" s="4">
        <v>45937</v>
      </c>
      <c r="C348" t="s">
        <v>580</v>
      </c>
      <c r="D348" t="s">
        <v>602</v>
      </c>
      <c r="E348" t="s">
        <v>637</v>
      </c>
      <c r="F348" t="s">
        <v>641</v>
      </c>
      <c r="G348">
        <v>3</v>
      </c>
      <c r="H348" s="1">
        <v>175</v>
      </c>
      <c r="I348" s="1">
        <v>105</v>
      </c>
      <c r="J348" s="2">
        <v>0</v>
      </c>
      <c r="K348" t="s">
        <v>646</v>
      </c>
      <c r="L348" t="s">
        <v>650</v>
      </c>
      <c r="M348" t="s">
        <v>672</v>
      </c>
    </row>
    <row r="349" spans="1:13" x14ac:dyDescent="0.3">
      <c r="A349" t="s">
        <v>355</v>
      </c>
      <c r="B349" s="4">
        <v>46016</v>
      </c>
      <c r="C349" t="s">
        <v>583</v>
      </c>
      <c r="D349" t="s">
        <v>603</v>
      </c>
      <c r="E349" t="s">
        <v>629</v>
      </c>
      <c r="F349" t="s">
        <v>640</v>
      </c>
      <c r="G349">
        <v>1</v>
      </c>
      <c r="H349" s="1">
        <v>92</v>
      </c>
      <c r="I349" s="1">
        <v>53</v>
      </c>
      <c r="J349" s="2">
        <v>0.1</v>
      </c>
      <c r="K349" t="s">
        <v>642</v>
      </c>
      <c r="L349" t="s">
        <v>648</v>
      </c>
      <c r="M349" t="s">
        <v>673</v>
      </c>
    </row>
    <row r="350" spans="1:13" x14ac:dyDescent="0.3">
      <c r="A350" t="s">
        <v>356</v>
      </c>
      <c r="B350" s="4">
        <v>45993</v>
      </c>
      <c r="C350" t="s">
        <v>575</v>
      </c>
      <c r="D350" t="s">
        <v>613</v>
      </c>
      <c r="E350" t="s">
        <v>632</v>
      </c>
      <c r="F350" t="s">
        <v>639</v>
      </c>
      <c r="G350">
        <v>3</v>
      </c>
      <c r="H350" s="1">
        <v>42</v>
      </c>
      <c r="I350" s="1">
        <v>21</v>
      </c>
      <c r="J350" s="2">
        <v>0.05</v>
      </c>
      <c r="K350" t="s">
        <v>644</v>
      </c>
      <c r="L350" t="s">
        <v>651</v>
      </c>
      <c r="M350" t="s">
        <v>668</v>
      </c>
    </row>
    <row r="351" spans="1:13" x14ac:dyDescent="0.3">
      <c r="A351" t="s">
        <v>357</v>
      </c>
      <c r="B351" s="4">
        <v>45884</v>
      </c>
      <c r="C351" t="s">
        <v>564</v>
      </c>
      <c r="D351" t="s">
        <v>612</v>
      </c>
      <c r="E351" t="s">
        <v>631</v>
      </c>
      <c r="F351" t="s">
        <v>641</v>
      </c>
      <c r="G351">
        <v>5</v>
      </c>
      <c r="H351" s="1">
        <v>85</v>
      </c>
      <c r="I351" s="1">
        <v>44</v>
      </c>
      <c r="J351" s="2">
        <v>0.1</v>
      </c>
      <c r="K351" t="s">
        <v>645</v>
      </c>
      <c r="L351" t="s">
        <v>648</v>
      </c>
      <c r="M351" t="s">
        <v>657</v>
      </c>
    </row>
    <row r="352" spans="1:13" x14ac:dyDescent="0.3">
      <c r="A352" t="s">
        <v>358</v>
      </c>
      <c r="B352" s="4">
        <v>45781</v>
      </c>
      <c r="C352" t="s">
        <v>567</v>
      </c>
      <c r="D352" t="s">
        <v>615</v>
      </c>
      <c r="E352" t="s">
        <v>635</v>
      </c>
      <c r="F352" t="s">
        <v>639</v>
      </c>
      <c r="G352">
        <v>4</v>
      </c>
      <c r="H352" s="1">
        <v>65</v>
      </c>
      <c r="I352" s="1">
        <v>31</v>
      </c>
      <c r="J352" s="2">
        <v>0.1</v>
      </c>
      <c r="K352" t="s">
        <v>645</v>
      </c>
      <c r="L352" t="s">
        <v>648</v>
      </c>
      <c r="M352" t="s">
        <v>660</v>
      </c>
    </row>
    <row r="353" spans="1:13" x14ac:dyDescent="0.3">
      <c r="A353" t="s">
        <v>359</v>
      </c>
      <c r="B353" s="4">
        <v>45765</v>
      </c>
      <c r="C353" t="s">
        <v>567</v>
      </c>
      <c r="D353" t="s">
        <v>622</v>
      </c>
      <c r="E353" t="s">
        <v>633</v>
      </c>
      <c r="F353" t="s">
        <v>638</v>
      </c>
      <c r="G353">
        <v>5</v>
      </c>
      <c r="H353" s="1">
        <v>210</v>
      </c>
      <c r="I353" s="1">
        <v>125</v>
      </c>
      <c r="J353" s="2">
        <v>0.1</v>
      </c>
      <c r="K353" t="s">
        <v>643</v>
      </c>
      <c r="L353" t="s">
        <v>651</v>
      </c>
      <c r="M353" t="s">
        <v>660</v>
      </c>
    </row>
    <row r="354" spans="1:13" x14ac:dyDescent="0.3">
      <c r="A354" t="s">
        <v>360</v>
      </c>
      <c r="B354" s="4">
        <v>46010</v>
      </c>
      <c r="C354" t="s">
        <v>580</v>
      </c>
      <c r="D354" t="s">
        <v>603</v>
      </c>
      <c r="E354" t="s">
        <v>629</v>
      </c>
      <c r="F354" t="s">
        <v>640</v>
      </c>
      <c r="G354">
        <v>3</v>
      </c>
      <c r="H354" s="1">
        <v>92</v>
      </c>
      <c r="I354" s="1">
        <v>53</v>
      </c>
      <c r="J354" s="2">
        <v>0.05</v>
      </c>
      <c r="K354" t="s">
        <v>643</v>
      </c>
      <c r="L354" t="s">
        <v>649</v>
      </c>
      <c r="M354" t="s">
        <v>672</v>
      </c>
    </row>
    <row r="355" spans="1:13" x14ac:dyDescent="0.3">
      <c r="A355" t="s">
        <v>361</v>
      </c>
      <c r="B355" s="4">
        <v>45776</v>
      </c>
      <c r="C355" t="s">
        <v>564</v>
      </c>
      <c r="D355" t="s">
        <v>607</v>
      </c>
      <c r="E355" t="s">
        <v>627</v>
      </c>
      <c r="F355" t="s">
        <v>639</v>
      </c>
      <c r="G355">
        <v>4</v>
      </c>
      <c r="H355" s="1">
        <v>38</v>
      </c>
      <c r="I355" s="1">
        <v>17</v>
      </c>
      <c r="J355" s="2">
        <v>0</v>
      </c>
      <c r="K355" t="s">
        <v>644</v>
      </c>
      <c r="L355" t="s">
        <v>649</v>
      </c>
      <c r="M355" t="s">
        <v>657</v>
      </c>
    </row>
    <row r="356" spans="1:13" x14ac:dyDescent="0.3">
      <c r="A356" t="s">
        <v>362</v>
      </c>
      <c r="B356" s="4">
        <v>45766</v>
      </c>
      <c r="C356" t="s">
        <v>564</v>
      </c>
      <c r="D356" t="s">
        <v>608</v>
      </c>
      <c r="E356" t="s">
        <v>628</v>
      </c>
      <c r="F356" t="s">
        <v>639</v>
      </c>
      <c r="G356">
        <v>4</v>
      </c>
      <c r="H356" s="1">
        <v>18</v>
      </c>
      <c r="I356" s="1">
        <v>7</v>
      </c>
      <c r="J356" s="2">
        <v>0.1</v>
      </c>
      <c r="K356" t="s">
        <v>643</v>
      </c>
      <c r="L356" t="s">
        <v>651</v>
      </c>
      <c r="M356" t="s">
        <v>657</v>
      </c>
    </row>
    <row r="357" spans="1:13" x14ac:dyDescent="0.3">
      <c r="A357" t="s">
        <v>363</v>
      </c>
      <c r="B357" s="4">
        <v>45747</v>
      </c>
      <c r="C357" t="s">
        <v>573</v>
      </c>
      <c r="D357" t="s">
        <v>599</v>
      </c>
      <c r="E357" t="s">
        <v>636</v>
      </c>
      <c r="F357" t="s">
        <v>641</v>
      </c>
      <c r="G357">
        <v>4</v>
      </c>
      <c r="H357" s="1">
        <v>245</v>
      </c>
      <c r="I357" s="1">
        <v>150</v>
      </c>
      <c r="J357" s="2">
        <v>0.2</v>
      </c>
      <c r="K357" t="s">
        <v>643</v>
      </c>
      <c r="L357" t="s">
        <v>653</v>
      </c>
      <c r="M357" t="s">
        <v>667</v>
      </c>
    </row>
    <row r="358" spans="1:13" x14ac:dyDescent="0.3">
      <c r="A358" t="s">
        <v>364</v>
      </c>
      <c r="B358" s="4">
        <v>45883</v>
      </c>
      <c r="C358" t="s">
        <v>594</v>
      </c>
      <c r="D358" t="s">
        <v>615</v>
      </c>
      <c r="E358" t="s">
        <v>636</v>
      </c>
      <c r="F358" t="s">
        <v>641</v>
      </c>
      <c r="G358">
        <v>3</v>
      </c>
      <c r="H358" s="1">
        <v>245</v>
      </c>
      <c r="I358" s="1">
        <v>150</v>
      </c>
      <c r="J358" s="2">
        <v>0</v>
      </c>
      <c r="K358" t="s">
        <v>644</v>
      </c>
      <c r="L358" t="s">
        <v>651</v>
      </c>
      <c r="M358" t="s">
        <v>668</v>
      </c>
    </row>
    <row r="359" spans="1:13" x14ac:dyDescent="0.3">
      <c r="A359" t="s">
        <v>365</v>
      </c>
      <c r="B359" s="4">
        <v>45693</v>
      </c>
      <c r="C359" t="s">
        <v>578</v>
      </c>
      <c r="D359" t="s">
        <v>616</v>
      </c>
      <c r="E359" t="s">
        <v>634</v>
      </c>
      <c r="F359" t="s">
        <v>641</v>
      </c>
      <c r="G359">
        <v>2</v>
      </c>
      <c r="H359" s="1">
        <v>59</v>
      </c>
      <c r="I359" s="1">
        <v>30</v>
      </c>
      <c r="J359" s="2">
        <v>0.15</v>
      </c>
      <c r="K359" t="s">
        <v>646</v>
      </c>
      <c r="L359" t="s">
        <v>650</v>
      </c>
      <c r="M359" t="s">
        <v>671</v>
      </c>
    </row>
    <row r="360" spans="1:13" x14ac:dyDescent="0.3">
      <c r="A360" t="s">
        <v>366</v>
      </c>
      <c r="B360" s="4">
        <v>45733</v>
      </c>
      <c r="C360" t="s">
        <v>577</v>
      </c>
      <c r="D360" t="s">
        <v>613</v>
      </c>
      <c r="E360" t="s">
        <v>635</v>
      </c>
      <c r="F360" t="s">
        <v>639</v>
      </c>
      <c r="G360">
        <v>4</v>
      </c>
      <c r="H360" s="1">
        <v>65</v>
      </c>
      <c r="I360" s="1">
        <v>31</v>
      </c>
      <c r="J360" s="2">
        <v>0.05</v>
      </c>
      <c r="K360" t="s">
        <v>642</v>
      </c>
      <c r="L360" t="s">
        <v>651</v>
      </c>
      <c r="M360" t="s">
        <v>670</v>
      </c>
    </row>
    <row r="361" spans="1:13" x14ac:dyDescent="0.3">
      <c r="A361" t="s">
        <v>367</v>
      </c>
      <c r="B361" s="4">
        <v>45763</v>
      </c>
      <c r="C361" t="s">
        <v>580</v>
      </c>
      <c r="D361" t="s">
        <v>614</v>
      </c>
      <c r="E361" t="s">
        <v>627</v>
      </c>
      <c r="F361" t="s">
        <v>639</v>
      </c>
      <c r="G361">
        <v>1</v>
      </c>
      <c r="H361" s="1">
        <v>38</v>
      </c>
      <c r="I361" s="1">
        <v>17</v>
      </c>
      <c r="J361" s="2">
        <v>0</v>
      </c>
      <c r="K361" t="s">
        <v>642</v>
      </c>
      <c r="L361" t="s">
        <v>648</v>
      </c>
      <c r="M361" t="s">
        <v>672</v>
      </c>
    </row>
    <row r="362" spans="1:13" x14ac:dyDescent="0.3">
      <c r="A362" t="s">
        <v>368</v>
      </c>
      <c r="B362" s="4">
        <v>45919</v>
      </c>
      <c r="C362" t="s">
        <v>572</v>
      </c>
      <c r="D362" t="s">
        <v>601</v>
      </c>
      <c r="E362" t="s">
        <v>627</v>
      </c>
      <c r="F362" t="s">
        <v>639</v>
      </c>
      <c r="G362">
        <v>5</v>
      </c>
      <c r="H362" s="1">
        <v>38</v>
      </c>
      <c r="I362" s="1">
        <v>17</v>
      </c>
      <c r="J362" s="2">
        <v>0.05</v>
      </c>
      <c r="K362" t="s">
        <v>645</v>
      </c>
      <c r="L362" t="s">
        <v>648</v>
      </c>
      <c r="M362" t="s">
        <v>665</v>
      </c>
    </row>
    <row r="363" spans="1:13" x14ac:dyDescent="0.3">
      <c r="A363" t="s">
        <v>369</v>
      </c>
      <c r="B363" s="4">
        <v>45947</v>
      </c>
      <c r="C363" t="s">
        <v>569</v>
      </c>
      <c r="D363" t="s">
        <v>621</v>
      </c>
      <c r="E363" t="s">
        <v>636</v>
      </c>
      <c r="F363" t="s">
        <v>641</v>
      </c>
      <c r="G363">
        <v>5</v>
      </c>
      <c r="H363" s="1">
        <v>245</v>
      </c>
      <c r="I363" s="1">
        <v>150</v>
      </c>
      <c r="J363" s="2">
        <v>0.1</v>
      </c>
      <c r="K363" t="s">
        <v>647</v>
      </c>
      <c r="L363" t="s">
        <v>648</v>
      </c>
      <c r="M363" t="s">
        <v>662</v>
      </c>
    </row>
    <row r="364" spans="1:13" x14ac:dyDescent="0.3">
      <c r="A364" t="s">
        <v>370</v>
      </c>
      <c r="B364" s="4">
        <v>46022</v>
      </c>
      <c r="C364" t="s">
        <v>580</v>
      </c>
      <c r="D364" t="s">
        <v>600</v>
      </c>
      <c r="E364" t="s">
        <v>631</v>
      </c>
      <c r="F364" t="s">
        <v>641</v>
      </c>
      <c r="G364">
        <v>5</v>
      </c>
      <c r="H364" s="1">
        <v>85</v>
      </c>
      <c r="I364" s="1">
        <v>44</v>
      </c>
      <c r="J364" s="2">
        <v>0</v>
      </c>
      <c r="K364" t="s">
        <v>643</v>
      </c>
      <c r="L364" t="s">
        <v>649</v>
      </c>
      <c r="M364" t="s">
        <v>672</v>
      </c>
    </row>
    <row r="365" spans="1:13" x14ac:dyDescent="0.3">
      <c r="A365" t="s">
        <v>371</v>
      </c>
      <c r="B365" s="4">
        <v>45894</v>
      </c>
      <c r="C365" t="s">
        <v>573</v>
      </c>
      <c r="D365" t="s">
        <v>613</v>
      </c>
      <c r="E365" t="s">
        <v>631</v>
      </c>
      <c r="F365" t="s">
        <v>641</v>
      </c>
      <c r="G365">
        <v>4</v>
      </c>
      <c r="H365" s="1">
        <v>85</v>
      </c>
      <c r="I365" s="1">
        <v>44</v>
      </c>
      <c r="J365" s="2">
        <v>0</v>
      </c>
      <c r="K365" t="s">
        <v>644</v>
      </c>
      <c r="L365" t="s">
        <v>649</v>
      </c>
      <c r="M365" t="s">
        <v>667</v>
      </c>
    </row>
    <row r="366" spans="1:13" x14ac:dyDescent="0.3">
      <c r="A366" t="s">
        <v>372</v>
      </c>
      <c r="B366" s="4">
        <v>45797</v>
      </c>
      <c r="C366" t="s">
        <v>576</v>
      </c>
      <c r="D366" t="s">
        <v>622</v>
      </c>
      <c r="E366" t="s">
        <v>628</v>
      </c>
      <c r="F366" t="s">
        <v>639</v>
      </c>
      <c r="G366">
        <v>5</v>
      </c>
      <c r="H366" s="1">
        <v>18</v>
      </c>
      <c r="I366" s="1">
        <v>7</v>
      </c>
      <c r="J366" s="2">
        <v>0</v>
      </c>
      <c r="K366" t="s">
        <v>643</v>
      </c>
      <c r="L366" t="s">
        <v>648</v>
      </c>
      <c r="M366" t="s">
        <v>669</v>
      </c>
    </row>
    <row r="367" spans="1:13" x14ac:dyDescent="0.3">
      <c r="A367" t="s">
        <v>373</v>
      </c>
      <c r="B367" s="4">
        <v>45732</v>
      </c>
      <c r="C367" t="s">
        <v>566</v>
      </c>
      <c r="D367" t="s">
        <v>608</v>
      </c>
      <c r="E367" t="s">
        <v>633</v>
      </c>
      <c r="F367" t="s">
        <v>638</v>
      </c>
      <c r="G367">
        <v>3</v>
      </c>
      <c r="H367" s="1">
        <v>210</v>
      </c>
      <c r="I367" s="1">
        <v>125</v>
      </c>
      <c r="J367" s="2">
        <v>0.15</v>
      </c>
      <c r="K367" t="s">
        <v>646</v>
      </c>
      <c r="L367" t="s">
        <v>650</v>
      </c>
      <c r="M367" t="s">
        <v>659</v>
      </c>
    </row>
    <row r="368" spans="1:13" x14ac:dyDescent="0.3">
      <c r="A368" t="s">
        <v>374</v>
      </c>
      <c r="B368" s="4">
        <v>45896</v>
      </c>
      <c r="C368" t="s">
        <v>567</v>
      </c>
      <c r="D368" t="s">
        <v>610</v>
      </c>
      <c r="E368" t="s">
        <v>632</v>
      </c>
      <c r="F368" t="s">
        <v>639</v>
      </c>
      <c r="G368">
        <v>4</v>
      </c>
      <c r="H368" s="1">
        <v>42</v>
      </c>
      <c r="I368" s="1">
        <v>21</v>
      </c>
      <c r="J368" s="2">
        <v>0.2</v>
      </c>
      <c r="K368" t="s">
        <v>643</v>
      </c>
      <c r="L368" t="s">
        <v>648</v>
      </c>
      <c r="M368" t="s">
        <v>660</v>
      </c>
    </row>
    <row r="369" spans="1:13" x14ac:dyDescent="0.3">
      <c r="A369" t="s">
        <v>375</v>
      </c>
      <c r="B369" s="4">
        <v>45806</v>
      </c>
      <c r="C369" t="s">
        <v>568</v>
      </c>
      <c r="D369" t="s">
        <v>603</v>
      </c>
      <c r="E369" t="s">
        <v>629</v>
      </c>
      <c r="F369" t="s">
        <v>640</v>
      </c>
      <c r="G369">
        <v>4</v>
      </c>
      <c r="H369" s="1">
        <v>92</v>
      </c>
      <c r="I369" s="1">
        <v>53</v>
      </c>
      <c r="J369" s="2">
        <v>0.05</v>
      </c>
      <c r="K369" t="s">
        <v>646</v>
      </c>
      <c r="L369" t="s">
        <v>648</v>
      </c>
      <c r="M369" t="s">
        <v>666</v>
      </c>
    </row>
    <row r="370" spans="1:13" x14ac:dyDescent="0.3">
      <c r="A370" t="s">
        <v>376</v>
      </c>
      <c r="B370" s="4">
        <v>45779</v>
      </c>
      <c r="C370" t="s">
        <v>573</v>
      </c>
      <c r="D370" t="s">
        <v>609</v>
      </c>
      <c r="E370" t="s">
        <v>626</v>
      </c>
      <c r="F370" t="s">
        <v>638</v>
      </c>
      <c r="G370">
        <v>5</v>
      </c>
      <c r="H370" s="1">
        <v>36</v>
      </c>
      <c r="I370" s="1">
        <v>16</v>
      </c>
      <c r="J370" s="2">
        <v>0.2</v>
      </c>
      <c r="K370" t="s">
        <v>646</v>
      </c>
      <c r="L370" t="s">
        <v>651</v>
      </c>
      <c r="M370" t="s">
        <v>680</v>
      </c>
    </row>
    <row r="371" spans="1:13" x14ac:dyDescent="0.3">
      <c r="A371" t="s">
        <v>377</v>
      </c>
      <c r="B371" s="4">
        <v>45915</v>
      </c>
      <c r="C371" t="s">
        <v>593</v>
      </c>
      <c r="D371" t="s">
        <v>617</v>
      </c>
      <c r="E371" t="s">
        <v>636</v>
      </c>
      <c r="F371" t="s">
        <v>641</v>
      </c>
      <c r="G371">
        <v>4</v>
      </c>
      <c r="H371" s="1">
        <v>245</v>
      </c>
      <c r="I371" s="1">
        <v>150</v>
      </c>
      <c r="J371" s="2">
        <v>0</v>
      </c>
      <c r="K371" t="s">
        <v>642</v>
      </c>
      <c r="L371" t="s">
        <v>651</v>
      </c>
      <c r="M371" t="s">
        <v>667</v>
      </c>
    </row>
    <row r="372" spans="1:13" x14ac:dyDescent="0.3">
      <c r="A372" t="s">
        <v>378</v>
      </c>
      <c r="B372" s="4">
        <v>45743</v>
      </c>
      <c r="C372" t="s">
        <v>575</v>
      </c>
      <c r="D372" t="s">
        <v>608</v>
      </c>
      <c r="E372" t="s">
        <v>634</v>
      </c>
      <c r="F372" t="s">
        <v>641</v>
      </c>
      <c r="G372">
        <v>3</v>
      </c>
      <c r="H372" s="1">
        <v>59</v>
      </c>
      <c r="I372" s="1">
        <v>30</v>
      </c>
      <c r="J372" s="2">
        <v>0</v>
      </c>
      <c r="K372" t="s">
        <v>644</v>
      </c>
      <c r="L372" t="s">
        <v>648</v>
      </c>
      <c r="M372" t="s">
        <v>668</v>
      </c>
    </row>
    <row r="373" spans="1:13" x14ac:dyDescent="0.3">
      <c r="A373" t="s">
        <v>379</v>
      </c>
      <c r="B373" s="4">
        <v>45670</v>
      </c>
      <c r="C373" t="s">
        <v>583</v>
      </c>
      <c r="D373" t="s">
        <v>617</v>
      </c>
      <c r="E373" t="s">
        <v>633</v>
      </c>
      <c r="F373" t="s">
        <v>638</v>
      </c>
      <c r="G373">
        <v>5</v>
      </c>
      <c r="H373" s="1">
        <v>210</v>
      </c>
      <c r="I373" s="1">
        <v>125</v>
      </c>
      <c r="J373" s="2">
        <v>0.1</v>
      </c>
      <c r="K373" t="s">
        <v>644</v>
      </c>
      <c r="L373" t="s">
        <v>650</v>
      </c>
      <c r="M373" t="s">
        <v>673</v>
      </c>
    </row>
    <row r="374" spans="1:13" x14ac:dyDescent="0.3">
      <c r="A374" t="s">
        <v>380</v>
      </c>
      <c r="B374" s="4">
        <v>45759</v>
      </c>
      <c r="C374" t="s">
        <v>588</v>
      </c>
      <c r="D374" t="s">
        <v>625</v>
      </c>
      <c r="E374" t="s">
        <v>630</v>
      </c>
      <c r="F374" t="s">
        <v>640</v>
      </c>
      <c r="G374">
        <v>3</v>
      </c>
      <c r="H374" s="1">
        <v>78</v>
      </c>
      <c r="I374" s="1">
        <v>45</v>
      </c>
      <c r="J374" s="2">
        <v>0.1</v>
      </c>
      <c r="K374" t="s">
        <v>646</v>
      </c>
      <c r="L374" t="s">
        <v>648</v>
      </c>
      <c r="M374" t="s">
        <v>656</v>
      </c>
    </row>
    <row r="375" spans="1:13" x14ac:dyDescent="0.3">
      <c r="A375" t="s">
        <v>381</v>
      </c>
      <c r="B375" s="4">
        <v>45668</v>
      </c>
      <c r="C375" t="s">
        <v>586</v>
      </c>
      <c r="D375" t="s">
        <v>614</v>
      </c>
      <c r="E375" t="s">
        <v>635</v>
      </c>
      <c r="F375" t="s">
        <v>639</v>
      </c>
      <c r="G375">
        <v>5</v>
      </c>
      <c r="H375" s="1">
        <v>65</v>
      </c>
      <c r="I375" s="1">
        <v>31</v>
      </c>
      <c r="J375" s="2">
        <v>0.15</v>
      </c>
      <c r="K375" t="s">
        <v>645</v>
      </c>
      <c r="L375" t="s">
        <v>651</v>
      </c>
      <c r="M375" t="s">
        <v>671</v>
      </c>
    </row>
    <row r="376" spans="1:13" x14ac:dyDescent="0.3">
      <c r="A376" t="s">
        <v>382</v>
      </c>
      <c r="B376" s="4">
        <v>45989</v>
      </c>
      <c r="C376" t="s">
        <v>584</v>
      </c>
      <c r="D376" t="s">
        <v>616</v>
      </c>
      <c r="E376" t="s">
        <v>627</v>
      </c>
      <c r="F376" t="s">
        <v>639</v>
      </c>
      <c r="G376">
        <v>3</v>
      </c>
      <c r="H376" s="1">
        <v>38</v>
      </c>
      <c r="I376" s="1">
        <v>17</v>
      </c>
      <c r="J376" s="2">
        <v>0.05</v>
      </c>
      <c r="K376" t="s">
        <v>642</v>
      </c>
      <c r="L376" t="s">
        <v>651</v>
      </c>
      <c r="M376" t="s">
        <v>675</v>
      </c>
    </row>
    <row r="377" spans="1:13" x14ac:dyDescent="0.3">
      <c r="A377" t="s">
        <v>383</v>
      </c>
      <c r="B377" s="4">
        <v>46012</v>
      </c>
      <c r="C377" t="s">
        <v>577</v>
      </c>
      <c r="D377" t="s">
        <v>599</v>
      </c>
      <c r="E377" t="s">
        <v>631</v>
      </c>
      <c r="F377" t="s">
        <v>641</v>
      </c>
      <c r="G377">
        <v>5</v>
      </c>
      <c r="H377" s="1">
        <v>85</v>
      </c>
      <c r="I377" s="1">
        <v>44</v>
      </c>
      <c r="J377" s="2">
        <v>0</v>
      </c>
      <c r="K377" t="s">
        <v>645</v>
      </c>
      <c r="L377" t="s">
        <v>648</v>
      </c>
      <c r="M377" t="s">
        <v>670</v>
      </c>
    </row>
    <row r="378" spans="1:13" x14ac:dyDescent="0.3">
      <c r="A378" t="s">
        <v>384</v>
      </c>
      <c r="B378" s="4">
        <v>45858</v>
      </c>
      <c r="C378" t="s">
        <v>563</v>
      </c>
      <c r="D378" t="s">
        <v>617</v>
      </c>
      <c r="E378" t="s">
        <v>635</v>
      </c>
      <c r="F378" t="s">
        <v>639</v>
      </c>
      <c r="G378">
        <v>5</v>
      </c>
      <c r="H378" s="1">
        <v>65</v>
      </c>
      <c r="I378" s="1">
        <v>31</v>
      </c>
      <c r="J378" s="2">
        <v>0</v>
      </c>
      <c r="K378" t="s">
        <v>647</v>
      </c>
      <c r="L378" t="s">
        <v>650</v>
      </c>
      <c r="M378" t="s">
        <v>656</v>
      </c>
    </row>
    <row r="379" spans="1:13" x14ac:dyDescent="0.3">
      <c r="A379" t="s">
        <v>385</v>
      </c>
      <c r="B379" s="4">
        <v>45739</v>
      </c>
      <c r="C379" t="s">
        <v>582</v>
      </c>
      <c r="D379" t="s">
        <v>618</v>
      </c>
      <c r="E379" t="s">
        <v>627</v>
      </c>
      <c r="F379" t="s">
        <v>639</v>
      </c>
      <c r="G379">
        <v>2</v>
      </c>
      <c r="H379" s="1">
        <v>38</v>
      </c>
      <c r="I379" s="1">
        <v>17</v>
      </c>
      <c r="J379" s="2">
        <v>0</v>
      </c>
      <c r="K379" t="s">
        <v>645</v>
      </c>
      <c r="L379" t="s">
        <v>650</v>
      </c>
      <c r="M379" t="s">
        <v>658</v>
      </c>
    </row>
    <row r="380" spans="1:13" x14ac:dyDescent="0.3">
      <c r="A380" t="s">
        <v>319</v>
      </c>
      <c r="B380" s="4">
        <v>45983</v>
      </c>
      <c r="C380" t="s">
        <v>569</v>
      </c>
      <c r="D380" t="s">
        <v>607</v>
      </c>
      <c r="E380" t="s">
        <v>632</v>
      </c>
      <c r="F380" t="s">
        <v>639</v>
      </c>
      <c r="G380">
        <v>5</v>
      </c>
      <c r="H380" s="1">
        <v>42</v>
      </c>
      <c r="I380" s="1">
        <v>21</v>
      </c>
      <c r="J380" s="2">
        <v>0</v>
      </c>
      <c r="K380" t="s">
        <v>643</v>
      </c>
      <c r="L380" t="s">
        <v>648</v>
      </c>
      <c r="M380" t="s">
        <v>662</v>
      </c>
    </row>
    <row r="381" spans="1:13" x14ac:dyDescent="0.3">
      <c r="A381" t="s">
        <v>386</v>
      </c>
      <c r="B381" s="4">
        <v>45976</v>
      </c>
      <c r="C381" t="s">
        <v>567</v>
      </c>
      <c r="D381" t="s">
        <v>607</v>
      </c>
      <c r="E381" t="s">
        <v>630</v>
      </c>
      <c r="F381" t="s">
        <v>640</v>
      </c>
      <c r="G381">
        <v>5</v>
      </c>
      <c r="H381" s="1">
        <v>78</v>
      </c>
      <c r="I381" s="1">
        <v>45</v>
      </c>
      <c r="J381" s="2">
        <v>0</v>
      </c>
      <c r="K381" t="s">
        <v>645</v>
      </c>
      <c r="L381" t="s">
        <v>649</v>
      </c>
      <c r="M381" t="s">
        <v>660</v>
      </c>
    </row>
    <row r="382" spans="1:13" x14ac:dyDescent="0.3">
      <c r="A382" t="s">
        <v>387</v>
      </c>
      <c r="B382" s="4">
        <v>45758</v>
      </c>
      <c r="C382" t="s">
        <v>591</v>
      </c>
      <c r="D382" t="s">
        <v>602</v>
      </c>
      <c r="E382" t="s">
        <v>637</v>
      </c>
      <c r="F382" t="s">
        <v>641</v>
      </c>
      <c r="G382">
        <v>1</v>
      </c>
      <c r="H382" s="1">
        <v>175</v>
      </c>
      <c r="I382" s="1">
        <v>105</v>
      </c>
      <c r="J382" s="2">
        <v>0</v>
      </c>
      <c r="K382" t="s">
        <v>642</v>
      </c>
      <c r="L382" t="s">
        <v>648</v>
      </c>
      <c r="M382" t="s">
        <v>675</v>
      </c>
    </row>
    <row r="383" spans="1:13" x14ac:dyDescent="0.3">
      <c r="A383" t="s">
        <v>388</v>
      </c>
      <c r="B383" s="4">
        <v>46001</v>
      </c>
      <c r="C383" t="s">
        <v>583</v>
      </c>
      <c r="D383" t="s">
        <v>621</v>
      </c>
      <c r="E383" t="s">
        <v>633</v>
      </c>
      <c r="F383" t="s">
        <v>638</v>
      </c>
      <c r="G383">
        <v>4</v>
      </c>
      <c r="H383" s="1">
        <v>210</v>
      </c>
      <c r="I383" s="1">
        <v>125</v>
      </c>
      <c r="J383" s="2">
        <v>0.15</v>
      </c>
      <c r="K383" t="s">
        <v>647</v>
      </c>
      <c r="L383" t="s">
        <v>648</v>
      </c>
      <c r="M383" t="s">
        <v>673</v>
      </c>
    </row>
    <row r="384" spans="1:13" x14ac:dyDescent="0.3">
      <c r="A384" t="s">
        <v>389</v>
      </c>
      <c r="B384" s="4">
        <v>45794</v>
      </c>
      <c r="C384" t="s">
        <v>576</v>
      </c>
      <c r="D384" t="s">
        <v>611</v>
      </c>
      <c r="E384" t="s">
        <v>636</v>
      </c>
      <c r="F384" t="s">
        <v>641</v>
      </c>
      <c r="G384">
        <v>4</v>
      </c>
      <c r="H384" s="1">
        <v>245</v>
      </c>
      <c r="I384" s="1">
        <v>150</v>
      </c>
      <c r="J384" s="2">
        <v>0</v>
      </c>
      <c r="K384" t="s">
        <v>642</v>
      </c>
      <c r="L384" t="s">
        <v>651</v>
      </c>
      <c r="M384" t="s">
        <v>669</v>
      </c>
    </row>
    <row r="385" spans="1:13" x14ac:dyDescent="0.3">
      <c r="A385" t="s">
        <v>390</v>
      </c>
      <c r="B385" s="4">
        <v>45717</v>
      </c>
      <c r="C385" t="s">
        <v>576</v>
      </c>
      <c r="D385" t="s">
        <v>601</v>
      </c>
      <c r="E385" t="s">
        <v>629</v>
      </c>
      <c r="F385" t="s">
        <v>640</v>
      </c>
      <c r="G385">
        <v>2</v>
      </c>
      <c r="H385" s="1">
        <v>92</v>
      </c>
      <c r="I385" s="1">
        <v>53</v>
      </c>
      <c r="J385" s="2">
        <v>0</v>
      </c>
      <c r="K385" t="s">
        <v>644</v>
      </c>
      <c r="L385" t="s">
        <v>648</v>
      </c>
      <c r="M385" t="s">
        <v>669</v>
      </c>
    </row>
    <row r="386" spans="1:13" x14ac:dyDescent="0.3">
      <c r="A386" t="s">
        <v>391</v>
      </c>
      <c r="B386" s="4">
        <v>45660</v>
      </c>
      <c r="C386" t="s">
        <v>578</v>
      </c>
      <c r="D386" t="s">
        <v>609</v>
      </c>
      <c r="E386" t="s">
        <v>629</v>
      </c>
      <c r="F386" t="s">
        <v>640</v>
      </c>
      <c r="G386">
        <v>4</v>
      </c>
      <c r="H386" s="1">
        <v>92</v>
      </c>
      <c r="I386" s="1">
        <v>53</v>
      </c>
      <c r="J386" s="2">
        <v>0</v>
      </c>
      <c r="K386" t="s">
        <v>643</v>
      </c>
      <c r="L386" t="s">
        <v>649</v>
      </c>
      <c r="M386" t="s">
        <v>671</v>
      </c>
    </row>
    <row r="387" spans="1:13" x14ac:dyDescent="0.3">
      <c r="A387" t="s">
        <v>392</v>
      </c>
      <c r="B387" s="4">
        <v>45848</v>
      </c>
      <c r="C387" t="s">
        <v>569</v>
      </c>
      <c r="D387" t="s">
        <v>602</v>
      </c>
      <c r="E387" t="s">
        <v>636</v>
      </c>
      <c r="F387" t="s">
        <v>641</v>
      </c>
      <c r="G387">
        <v>2</v>
      </c>
      <c r="H387" s="1">
        <v>245</v>
      </c>
      <c r="I387" s="1">
        <v>150</v>
      </c>
      <c r="J387" s="2">
        <v>0.05</v>
      </c>
      <c r="K387" t="s">
        <v>644</v>
      </c>
      <c r="L387" t="s">
        <v>648</v>
      </c>
      <c r="M387" t="s">
        <v>662</v>
      </c>
    </row>
    <row r="388" spans="1:13" x14ac:dyDescent="0.3">
      <c r="A388" t="s">
        <v>393</v>
      </c>
      <c r="B388" s="4">
        <v>45828</v>
      </c>
      <c r="C388" t="s">
        <v>567</v>
      </c>
      <c r="D388" t="s">
        <v>604</v>
      </c>
      <c r="E388" t="s">
        <v>627</v>
      </c>
      <c r="F388" t="s">
        <v>639</v>
      </c>
      <c r="G388">
        <v>4</v>
      </c>
      <c r="H388" s="1">
        <v>38</v>
      </c>
      <c r="I388" s="1">
        <v>17</v>
      </c>
      <c r="J388" s="2">
        <v>0.05</v>
      </c>
      <c r="K388" t="s">
        <v>643</v>
      </c>
      <c r="L388" t="s">
        <v>650</v>
      </c>
      <c r="M388" t="s">
        <v>683</v>
      </c>
    </row>
    <row r="389" spans="1:13" x14ac:dyDescent="0.3">
      <c r="A389" t="s">
        <v>394</v>
      </c>
      <c r="B389" s="4">
        <v>45909</v>
      </c>
      <c r="C389" t="s">
        <v>582</v>
      </c>
      <c r="D389" t="s">
        <v>614</v>
      </c>
      <c r="E389" t="s">
        <v>626</v>
      </c>
      <c r="F389" t="s">
        <v>638</v>
      </c>
      <c r="G389">
        <v>5</v>
      </c>
      <c r="H389" s="1">
        <v>36</v>
      </c>
      <c r="I389" s="1">
        <v>16</v>
      </c>
      <c r="J389" s="2">
        <v>0.1</v>
      </c>
      <c r="K389" t="s">
        <v>645</v>
      </c>
      <c r="L389" t="s">
        <v>648</v>
      </c>
      <c r="M389" t="s">
        <v>658</v>
      </c>
    </row>
    <row r="390" spans="1:13" x14ac:dyDescent="0.3">
      <c r="A390" t="s">
        <v>395</v>
      </c>
      <c r="B390" s="4">
        <v>45794</v>
      </c>
      <c r="C390" t="s">
        <v>564</v>
      </c>
      <c r="D390" t="s">
        <v>609</v>
      </c>
      <c r="E390" t="s">
        <v>637</v>
      </c>
      <c r="F390" t="s">
        <v>641</v>
      </c>
      <c r="G390">
        <v>3</v>
      </c>
      <c r="H390" s="1">
        <v>175</v>
      </c>
      <c r="I390" s="1">
        <v>105</v>
      </c>
      <c r="J390" s="2">
        <v>0</v>
      </c>
      <c r="K390" t="s">
        <v>642</v>
      </c>
      <c r="L390" t="s">
        <v>648</v>
      </c>
      <c r="M390" t="s">
        <v>657</v>
      </c>
    </row>
    <row r="391" spans="1:13" x14ac:dyDescent="0.3">
      <c r="A391" t="s">
        <v>396</v>
      </c>
      <c r="B391" s="4">
        <v>45697</v>
      </c>
      <c r="C391" t="s">
        <v>584</v>
      </c>
      <c r="D391" t="s">
        <v>620</v>
      </c>
      <c r="E391" t="s">
        <v>626</v>
      </c>
      <c r="F391" t="s">
        <v>638</v>
      </c>
      <c r="G391">
        <v>5</v>
      </c>
      <c r="H391" s="1">
        <v>36</v>
      </c>
      <c r="I391" s="1">
        <v>16</v>
      </c>
      <c r="J391" s="2">
        <v>0.15</v>
      </c>
      <c r="K391" t="s">
        <v>642</v>
      </c>
      <c r="L391" t="s">
        <v>650</v>
      </c>
      <c r="M391" t="s">
        <v>675</v>
      </c>
    </row>
    <row r="392" spans="1:13" x14ac:dyDescent="0.3">
      <c r="A392" t="s">
        <v>397</v>
      </c>
      <c r="B392" s="4">
        <v>45946</v>
      </c>
      <c r="C392" t="s">
        <v>571</v>
      </c>
      <c r="D392" t="s">
        <v>624</v>
      </c>
      <c r="E392" t="s">
        <v>632</v>
      </c>
      <c r="F392" t="s">
        <v>639</v>
      </c>
      <c r="G392">
        <v>5</v>
      </c>
      <c r="H392" s="1">
        <v>42</v>
      </c>
      <c r="I392" s="1">
        <v>21</v>
      </c>
      <c r="J392" s="2">
        <v>0</v>
      </c>
      <c r="K392" t="s">
        <v>646</v>
      </c>
      <c r="L392" t="s">
        <v>650</v>
      </c>
      <c r="M392" t="s">
        <v>664</v>
      </c>
    </row>
    <row r="393" spans="1:13" x14ac:dyDescent="0.3">
      <c r="A393" t="s">
        <v>398</v>
      </c>
      <c r="B393" s="4">
        <v>45745</v>
      </c>
      <c r="C393" t="s">
        <v>580</v>
      </c>
      <c r="D393" t="s">
        <v>611</v>
      </c>
      <c r="E393" t="s">
        <v>628</v>
      </c>
      <c r="F393" t="s">
        <v>639</v>
      </c>
      <c r="G393">
        <v>1</v>
      </c>
      <c r="H393" s="1">
        <v>18</v>
      </c>
      <c r="I393" s="1">
        <v>7</v>
      </c>
      <c r="J393" s="2">
        <v>0</v>
      </c>
      <c r="K393" t="s">
        <v>645</v>
      </c>
      <c r="L393" t="s">
        <v>648</v>
      </c>
      <c r="M393" t="s">
        <v>672</v>
      </c>
    </row>
    <row r="394" spans="1:13" x14ac:dyDescent="0.3">
      <c r="A394" t="s">
        <v>399</v>
      </c>
      <c r="B394" s="4">
        <v>46009</v>
      </c>
      <c r="C394" t="s">
        <v>568</v>
      </c>
      <c r="D394" t="s">
        <v>611</v>
      </c>
      <c r="E394" t="s">
        <v>629</v>
      </c>
      <c r="F394" t="s">
        <v>640</v>
      </c>
      <c r="G394">
        <v>1</v>
      </c>
      <c r="H394" s="1">
        <v>92</v>
      </c>
      <c r="I394" s="1">
        <v>53</v>
      </c>
      <c r="J394" s="2">
        <v>0</v>
      </c>
      <c r="K394" t="s">
        <v>643</v>
      </c>
      <c r="L394" t="s">
        <v>649</v>
      </c>
      <c r="M394" t="s">
        <v>666</v>
      </c>
    </row>
    <row r="395" spans="1:13" x14ac:dyDescent="0.3">
      <c r="A395" t="s">
        <v>400</v>
      </c>
      <c r="B395" s="4">
        <v>45677</v>
      </c>
      <c r="C395" t="s">
        <v>571</v>
      </c>
      <c r="D395" t="s">
        <v>604</v>
      </c>
      <c r="E395" t="s">
        <v>630</v>
      </c>
      <c r="F395" t="s">
        <v>640</v>
      </c>
      <c r="G395">
        <v>1</v>
      </c>
      <c r="H395" s="1">
        <v>78</v>
      </c>
      <c r="I395" s="1">
        <v>45</v>
      </c>
      <c r="J395" s="2">
        <v>0.05</v>
      </c>
      <c r="K395" t="s">
        <v>642</v>
      </c>
      <c r="L395" t="s">
        <v>649</v>
      </c>
      <c r="M395" t="s">
        <v>664</v>
      </c>
    </row>
    <row r="396" spans="1:13" x14ac:dyDescent="0.3">
      <c r="A396" t="s">
        <v>401</v>
      </c>
      <c r="B396" s="4">
        <v>45844</v>
      </c>
      <c r="C396" t="s">
        <v>576</v>
      </c>
      <c r="D396" t="s">
        <v>619</v>
      </c>
      <c r="E396" t="s">
        <v>629</v>
      </c>
      <c r="F396" t="s">
        <v>640</v>
      </c>
      <c r="G396">
        <v>4</v>
      </c>
      <c r="H396" s="1">
        <v>92</v>
      </c>
      <c r="I396" s="1">
        <v>53</v>
      </c>
      <c r="J396" s="2">
        <v>0.2</v>
      </c>
      <c r="K396" t="s">
        <v>642</v>
      </c>
      <c r="L396" t="s">
        <v>648</v>
      </c>
      <c r="M396" t="s">
        <v>669</v>
      </c>
    </row>
    <row r="397" spans="1:13" x14ac:dyDescent="0.3">
      <c r="A397" t="s">
        <v>402</v>
      </c>
      <c r="B397" s="4">
        <v>45791</v>
      </c>
      <c r="C397" t="s">
        <v>569</v>
      </c>
      <c r="D397" t="s">
        <v>624</v>
      </c>
      <c r="E397" t="s">
        <v>630</v>
      </c>
      <c r="F397" t="s">
        <v>640</v>
      </c>
      <c r="G397">
        <v>2</v>
      </c>
      <c r="H397" s="1">
        <v>78</v>
      </c>
      <c r="I397" s="1">
        <v>45</v>
      </c>
      <c r="J397" s="2">
        <v>0.05</v>
      </c>
      <c r="K397" t="s">
        <v>646</v>
      </c>
      <c r="L397" t="s">
        <v>648</v>
      </c>
      <c r="M397" t="s">
        <v>662</v>
      </c>
    </row>
    <row r="398" spans="1:13" x14ac:dyDescent="0.3">
      <c r="A398" t="s">
        <v>403</v>
      </c>
      <c r="B398" s="4">
        <v>45745</v>
      </c>
      <c r="C398" t="s">
        <v>588</v>
      </c>
      <c r="D398" t="s">
        <v>610</v>
      </c>
      <c r="E398" t="s">
        <v>631</v>
      </c>
      <c r="F398" t="s">
        <v>641</v>
      </c>
      <c r="G398">
        <v>4</v>
      </c>
      <c r="H398" s="1">
        <v>85</v>
      </c>
      <c r="I398" s="1">
        <v>44</v>
      </c>
      <c r="J398" s="2">
        <v>0</v>
      </c>
      <c r="K398" t="s">
        <v>643</v>
      </c>
      <c r="L398" t="s">
        <v>648</v>
      </c>
      <c r="M398" t="s">
        <v>656</v>
      </c>
    </row>
    <row r="399" spans="1:13" x14ac:dyDescent="0.3">
      <c r="A399" t="s">
        <v>404</v>
      </c>
      <c r="B399" s="4">
        <v>45835</v>
      </c>
      <c r="C399" t="s">
        <v>577</v>
      </c>
      <c r="D399" t="s">
        <v>617</v>
      </c>
      <c r="E399" t="s">
        <v>632</v>
      </c>
      <c r="F399" t="s">
        <v>639</v>
      </c>
      <c r="G399">
        <v>3</v>
      </c>
      <c r="H399" s="1">
        <v>42</v>
      </c>
      <c r="I399" s="1">
        <v>21</v>
      </c>
      <c r="J399" s="2">
        <v>0</v>
      </c>
      <c r="K399" t="s">
        <v>647</v>
      </c>
      <c r="L399" t="s">
        <v>650</v>
      </c>
      <c r="M399" t="s">
        <v>670</v>
      </c>
    </row>
    <row r="400" spans="1:13" x14ac:dyDescent="0.3">
      <c r="A400" t="s">
        <v>405</v>
      </c>
      <c r="B400" s="4">
        <v>45987</v>
      </c>
      <c r="C400" t="s">
        <v>569</v>
      </c>
      <c r="D400" t="s">
        <v>623</v>
      </c>
      <c r="E400" t="s">
        <v>632</v>
      </c>
      <c r="F400" t="s">
        <v>639</v>
      </c>
      <c r="G400">
        <v>5</v>
      </c>
      <c r="H400" s="1">
        <v>42</v>
      </c>
      <c r="I400" s="1">
        <v>21</v>
      </c>
      <c r="J400" s="2">
        <v>0.1</v>
      </c>
      <c r="K400" t="s">
        <v>646</v>
      </c>
      <c r="L400" t="s">
        <v>648</v>
      </c>
      <c r="M400" t="s">
        <v>662</v>
      </c>
    </row>
    <row r="401" spans="1:13" x14ac:dyDescent="0.3">
      <c r="A401" t="s">
        <v>406</v>
      </c>
      <c r="B401" s="4">
        <v>45977</v>
      </c>
      <c r="C401" t="s">
        <v>564</v>
      </c>
      <c r="D401" t="s">
        <v>607</v>
      </c>
      <c r="E401" t="s">
        <v>626</v>
      </c>
      <c r="F401" t="s">
        <v>638</v>
      </c>
      <c r="G401">
        <v>3</v>
      </c>
      <c r="H401" s="1">
        <v>36</v>
      </c>
      <c r="I401" s="1">
        <v>16</v>
      </c>
      <c r="J401" s="2">
        <v>0.2</v>
      </c>
      <c r="K401" t="s">
        <v>644</v>
      </c>
      <c r="L401" t="s">
        <v>648</v>
      </c>
      <c r="M401" t="s">
        <v>657</v>
      </c>
    </row>
    <row r="402" spans="1:13" x14ac:dyDescent="0.3">
      <c r="A402" t="s">
        <v>407</v>
      </c>
      <c r="B402" s="4">
        <v>45730</v>
      </c>
      <c r="C402" t="s">
        <v>596</v>
      </c>
      <c r="D402" t="s">
        <v>600</v>
      </c>
      <c r="E402" t="s">
        <v>635</v>
      </c>
      <c r="F402" t="s">
        <v>639</v>
      </c>
      <c r="G402">
        <v>2</v>
      </c>
      <c r="H402" s="1">
        <v>65</v>
      </c>
      <c r="I402" s="1">
        <v>31</v>
      </c>
      <c r="J402" s="2">
        <v>0</v>
      </c>
      <c r="K402" t="s">
        <v>647</v>
      </c>
      <c r="L402" t="s">
        <v>648</v>
      </c>
      <c r="M402" t="s">
        <v>669</v>
      </c>
    </row>
    <row r="403" spans="1:13" x14ac:dyDescent="0.3">
      <c r="A403" t="s">
        <v>408</v>
      </c>
      <c r="B403" s="4">
        <v>45690</v>
      </c>
      <c r="C403" t="s">
        <v>586</v>
      </c>
      <c r="D403" t="s">
        <v>600</v>
      </c>
      <c r="E403" t="s">
        <v>626</v>
      </c>
      <c r="F403" t="s">
        <v>638</v>
      </c>
      <c r="G403">
        <v>3</v>
      </c>
      <c r="H403" s="1">
        <v>36</v>
      </c>
      <c r="I403" s="1">
        <v>16</v>
      </c>
      <c r="J403" s="2">
        <v>0</v>
      </c>
      <c r="K403" t="s">
        <v>645</v>
      </c>
      <c r="L403" t="s">
        <v>649</v>
      </c>
      <c r="M403" t="s">
        <v>671</v>
      </c>
    </row>
    <row r="404" spans="1:13" x14ac:dyDescent="0.3">
      <c r="A404" t="s">
        <v>409</v>
      </c>
      <c r="B404" s="4">
        <v>45990</v>
      </c>
      <c r="C404" t="s">
        <v>580</v>
      </c>
      <c r="D404" t="s">
        <v>607</v>
      </c>
      <c r="E404" t="s">
        <v>626</v>
      </c>
      <c r="F404" t="s">
        <v>638</v>
      </c>
      <c r="G404">
        <v>3</v>
      </c>
      <c r="H404" s="1">
        <v>36</v>
      </c>
      <c r="I404" s="1">
        <v>16</v>
      </c>
      <c r="J404" s="2">
        <v>0.1</v>
      </c>
      <c r="K404" t="s">
        <v>645</v>
      </c>
      <c r="L404" t="s">
        <v>648</v>
      </c>
      <c r="M404" t="s">
        <v>672</v>
      </c>
    </row>
    <row r="405" spans="1:13" x14ac:dyDescent="0.3">
      <c r="A405" t="s">
        <v>410</v>
      </c>
      <c r="B405" s="4">
        <v>45781</v>
      </c>
      <c r="C405" t="s">
        <v>577</v>
      </c>
      <c r="D405" t="s">
        <v>619</v>
      </c>
      <c r="E405" t="s">
        <v>635</v>
      </c>
      <c r="F405" t="s">
        <v>639</v>
      </c>
      <c r="G405">
        <v>4</v>
      </c>
      <c r="H405" s="1">
        <v>65</v>
      </c>
      <c r="I405" s="1">
        <v>31</v>
      </c>
      <c r="J405" s="2">
        <v>0.05</v>
      </c>
      <c r="K405" t="s">
        <v>642</v>
      </c>
      <c r="L405" t="s">
        <v>651</v>
      </c>
      <c r="M405" t="s">
        <v>670</v>
      </c>
    </row>
    <row r="406" spans="1:13" x14ac:dyDescent="0.3">
      <c r="A406" t="s">
        <v>411</v>
      </c>
      <c r="B406" s="4">
        <v>45670</v>
      </c>
      <c r="C406" t="s">
        <v>583</v>
      </c>
      <c r="D406" t="s">
        <v>612</v>
      </c>
      <c r="E406" t="s">
        <v>627</v>
      </c>
      <c r="F406" t="s">
        <v>639</v>
      </c>
      <c r="G406">
        <v>5</v>
      </c>
      <c r="H406" s="1">
        <v>38</v>
      </c>
      <c r="I406" s="1">
        <v>17</v>
      </c>
      <c r="J406" s="2">
        <v>0.05</v>
      </c>
      <c r="K406" t="s">
        <v>645</v>
      </c>
      <c r="L406" t="s">
        <v>649</v>
      </c>
      <c r="M406" t="s">
        <v>673</v>
      </c>
    </row>
    <row r="407" spans="1:13" x14ac:dyDescent="0.3">
      <c r="A407" t="s">
        <v>412</v>
      </c>
      <c r="B407" s="4">
        <v>45831</v>
      </c>
      <c r="C407" t="s">
        <v>578</v>
      </c>
      <c r="D407" t="s">
        <v>618</v>
      </c>
      <c r="E407" t="s">
        <v>626</v>
      </c>
      <c r="F407" t="s">
        <v>638</v>
      </c>
      <c r="G407">
        <v>1</v>
      </c>
      <c r="H407" s="1">
        <v>36</v>
      </c>
      <c r="I407" s="1">
        <v>16</v>
      </c>
      <c r="J407" s="2">
        <v>0</v>
      </c>
      <c r="K407" t="s">
        <v>643</v>
      </c>
      <c r="L407" t="s">
        <v>648</v>
      </c>
      <c r="M407" t="s">
        <v>671</v>
      </c>
    </row>
    <row r="408" spans="1:13" x14ac:dyDescent="0.3">
      <c r="A408" t="s">
        <v>413</v>
      </c>
      <c r="B408" s="4">
        <v>45844</v>
      </c>
      <c r="C408" t="s">
        <v>573</v>
      </c>
      <c r="D408" t="s">
        <v>602</v>
      </c>
      <c r="E408" t="s">
        <v>635</v>
      </c>
      <c r="F408" t="s">
        <v>639</v>
      </c>
      <c r="G408">
        <v>4</v>
      </c>
      <c r="H408" s="1">
        <v>65</v>
      </c>
      <c r="I408" s="1">
        <v>31</v>
      </c>
      <c r="J408" s="2">
        <v>0.15</v>
      </c>
      <c r="K408" t="s">
        <v>643</v>
      </c>
      <c r="L408" t="s">
        <v>651</v>
      </c>
      <c r="M408" t="s">
        <v>667</v>
      </c>
    </row>
    <row r="409" spans="1:13" x14ac:dyDescent="0.3">
      <c r="A409" t="s">
        <v>414</v>
      </c>
      <c r="B409" s="4">
        <v>45743</v>
      </c>
      <c r="C409" t="s">
        <v>566</v>
      </c>
      <c r="D409" t="s">
        <v>615</v>
      </c>
      <c r="E409" t="s">
        <v>628</v>
      </c>
      <c r="F409" t="s">
        <v>639</v>
      </c>
      <c r="G409">
        <v>1</v>
      </c>
      <c r="H409" s="1">
        <v>18</v>
      </c>
      <c r="I409" s="1">
        <v>7</v>
      </c>
      <c r="J409" s="2">
        <v>0</v>
      </c>
      <c r="K409" t="s">
        <v>647</v>
      </c>
      <c r="L409" t="s">
        <v>651</v>
      </c>
      <c r="M409" t="s">
        <v>659</v>
      </c>
    </row>
    <row r="410" spans="1:13" x14ac:dyDescent="0.3">
      <c r="A410" t="s">
        <v>415</v>
      </c>
      <c r="B410" s="4">
        <v>45804</v>
      </c>
      <c r="C410" t="s">
        <v>584</v>
      </c>
      <c r="D410" t="s">
        <v>613</v>
      </c>
      <c r="E410" t="s">
        <v>626</v>
      </c>
      <c r="F410" t="s">
        <v>638</v>
      </c>
      <c r="G410">
        <v>4</v>
      </c>
      <c r="H410" s="1">
        <v>36</v>
      </c>
      <c r="I410" s="1">
        <v>16</v>
      </c>
      <c r="J410" s="2">
        <v>0</v>
      </c>
      <c r="K410" t="s">
        <v>646</v>
      </c>
      <c r="L410" t="s">
        <v>649</v>
      </c>
      <c r="M410" t="s">
        <v>675</v>
      </c>
    </row>
    <row r="411" spans="1:13" x14ac:dyDescent="0.3">
      <c r="A411" t="s">
        <v>416</v>
      </c>
      <c r="B411" s="4">
        <v>45790</v>
      </c>
      <c r="C411" t="s">
        <v>572</v>
      </c>
      <c r="D411" t="s">
        <v>600</v>
      </c>
      <c r="E411" t="s">
        <v>636</v>
      </c>
      <c r="F411" t="s">
        <v>641</v>
      </c>
      <c r="G411">
        <v>3</v>
      </c>
      <c r="H411" s="1">
        <v>245</v>
      </c>
      <c r="I411" s="1">
        <v>150</v>
      </c>
      <c r="J411" s="2">
        <v>0.15</v>
      </c>
      <c r="K411" t="s">
        <v>644</v>
      </c>
      <c r="L411" t="s">
        <v>650</v>
      </c>
      <c r="M411" t="s">
        <v>665</v>
      </c>
    </row>
    <row r="412" spans="1:13" x14ac:dyDescent="0.3">
      <c r="A412" t="s">
        <v>417</v>
      </c>
      <c r="B412" s="4">
        <v>46004</v>
      </c>
      <c r="C412" t="s">
        <v>568</v>
      </c>
      <c r="D412" t="s">
        <v>620</v>
      </c>
      <c r="E412" t="s">
        <v>637</v>
      </c>
      <c r="F412" t="s">
        <v>641</v>
      </c>
      <c r="G412">
        <v>1</v>
      </c>
      <c r="H412" s="1">
        <v>175</v>
      </c>
      <c r="I412" s="1">
        <v>105</v>
      </c>
      <c r="J412" s="2">
        <v>0.15</v>
      </c>
      <c r="K412" t="s">
        <v>647</v>
      </c>
      <c r="L412" t="s">
        <v>648</v>
      </c>
      <c r="M412" t="s">
        <v>666</v>
      </c>
    </row>
    <row r="413" spans="1:13" x14ac:dyDescent="0.3">
      <c r="A413" t="s">
        <v>418</v>
      </c>
      <c r="B413" s="4">
        <v>45880</v>
      </c>
      <c r="C413" t="s">
        <v>564</v>
      </c>
      <c r="D413" t="s">
        <v>609</v>
      </c>
      <c r="E413" t="s">
        <v>636</v>
      </c>
      <c r="F413" t="s">
        <v>641</v>
      </c>
      <c r="G413">
        <v>1</v>
      </c>
      <c r="H413" s="1">
        <v>245</v>
      </c>
      <c r="I413" s="1">
        <v>150</v>
      </c>
      <c r="J413" s="2">
        <v>0</v>
      </c>
      <c r="K413" t="s">
        <v>644</v>
      </c>
      <c r="L413" t="s">
        <v>649</v>
      </c>
      <c r="M413" t="s">
        <v>657</v>
      </c>
    </row>
    <row r="414" spans="1:13" x14ac:dyDescent="0.3">
      <c r="A414" t="s">
        <v>419</v>
      </c>
      <c r="B414" s="4">
        <v>45835</v>
      </c>
      <c r="C414" t="s">
        <v>580</v>
      </c>
      <c r="D414" t="s">
        <v>611</v>
      </c>
      <c r="E414" t="s">
        <v>637</v>
      </c>
      <c r="F414" t="s">
        <v>641</v>
      </c>
      <c r="G414">
        <v>1</v>
      </c>
      <c r="H414" s="1">
        <v>175</v>
      </c>
      <c r="I414" s="1">
        <v>105</v>
      </c>
      <c r="J414" s="2">
        <v>0.15</v>
      </c>
      <c r="K414" t="s">
        <v>642</v>
      </c>
      <c r="L414" t="s">
        <v>648</v>
      </c>
      <c r="M414" t="s">
        <v>672</v>
      </c>
    </row>
    <row r="415" spans="1:13" x14ac:dyDescent="0.3">
      <c r="A415" t="s">
        <v>420</v>
      </c>
      <c r="B415" s="4">
        <v>45887</v>
      </c>
      <c r="C415" t="s">
        <v>573</v>
      </c>
      <c r="D415" t="s">
        <v>614</v>
      </c>
      <c r="E415" t="s">
        <v>627</v>
      </c>
      <c r="F415" t="s">
        <v>639</v>
      </c>
      <c r="G415">
        <v>2</v>
      </c>
      <c r="H415" s="1">
        <v>38</v>
      </c>
      <c r="I415" s="1">
        <v>17</v>
      </c>
      <c r="J415" s="2">
        <v>0.15</v>
      </c>
      <c r="K415" t="s">
        <v>642</v>
      </c>
      <c r="L415" t="s">
        <v>650</v>
      </c>
      <c r="M415" t="s">
        <v>667</v>
      </c>
    </row>
    <row r="416" spans="1:13" x14ac:dyDescent="0.3">
      <c r="A416" t="s">
        <v>421</v>
      </c>
      <c r="B416" s="4">
        <v>45911</v>
      </c>
      <c r="C416" t="s">
        <v>583</v>
      </c>
      <c r="D416" t="s">
        <v>602</v>
      </c>
      <c r="E416" t="s">
        <v>634</v>
      </c>
      <c r="F416" t="s">
        <v>641</v>
      </c>
      <c r="G416">
        <v>2</v>
      </c>
      <c r="H416" s="1">
        <v>59</v>
      </c>
      <c r="I416" s="1">
        <v>30</v>
      </c>
      <c r="J416" s="2">
        <v>0.1</v>
      </c>
      <c r="K416" t="s">
        <v>643</v>
      </c>
      <c r="L416" t="s">
        <v>649</v>
      </c>
      <c r="M416" t="s">
        <v>673</v>
      </c>
    </row>
    <row r="417" spans="1:13" x14ac:dyDescent="0.3">
      <c r="A417" t="s">
        <v>422</v>
      </c>
      <c r="B417" s="4">
        <v>45916</v>
      </c>
      <c r="C417" t="s">
        <v>575</v>
      </c>
      <c r="D417" t="s">
        <v>621</v>
      </c>
      <c r="E417" t="s">
        <v>630</v>
      </c>
      <c r="F417" t="s">
        <v>640</v>
      </c>
      <c r="G417">
        <v>2</v>
      </c>
      <c r="H417" s="1">
        <v>78</v>
      </c>
      <c r="I417" s="1">
        <v>45</v>
      </c>
      <c r="J417" s="2">
        <v>0.05</v>
      </c>
      <c r="K417" t="s">
        <v>643</v>
      </c>
      <c r="L417" t="s">
        <v>649</v>
      </c>
      <c r="M417" t="s">
        <v>668</v>
      </c>
    </row>
    <row r="418" spans="1:13" x14ac:dyDescent="0.3">
      <c r="A418" t="s">
        <v>222</v>
      </c>
      <c r="B418" s="4">
        <v>45986</v>
      </c>
      <c r="C418" t="s">
        <v>572</v>
      </c>
      <c r="D418" t="s">
        <v>609</v>
      </c>
      <c r="E418" t="s">
        <v>632</v>
      </c>
      <c r="F418" t="s">
        <v>639</v>
      </c>
      <c r="G418">
        <v>2</v>
      </c>
      <c r="H418" s="1">
        <v>42</v>
      </c>
      <c r="I418" s="1">
        <v>21</v>
      </c>
      <c r="J418" s="2">
        <v>0</v>
      </c>
      <c r="K418" t="s">
        <v>645</v>
      </c>
      <c r="L418" t="s">
        <v>648</v>
      </c>
      <c r="M418" t="s">
        <v>665</v>
      </c>
    </row>
    <row r="419" spans="1:13" x14ac:dyDescent="0.3">
      <c r="A419" t="s">
        <v>423</v>
      </c>
      <c r="B419" s="4">
        <v>45821</v>
      </c>
      <c r="C419" t="s">
        <v>564</v>
      </c>
      <c r="D419" t="s">
        <v>616</v>
      </c>
      <c r="E419" t="s">
        <v>631</v>
      </c>
      <c r="F419" t="s">
        <v>641</v>
      </c>
      <c r="G419">
        <v>5</v>
      </c>
      <c r="H419" s="1">
        <v>85</v>
      </c>
      <c r="I419" s="1">
        <v>44</v>
      </c>
      <c r="J419" s="2">
        <v>0</v>
      </c>
      <c r="K419" t="s">
        <v>647</v>
      </c>
      <c r="L419" t="s">
        <v>648</v>
      </c>
      <c r="M419" t="s">
        <v>657</v>
      </c>
    </row>
    <row r="420" spans="1:13" x14ac:dyDescent="0.3">
      <c r="A420" t="s">
        <v>424</v>
      </c>
      <c r="B420" s="4">
        <v>45806</v>
      </c>
      <c r="C420" t="s">
        <v>571</v>
      </c>
      <c r="D420" t="s">
        <v>609</v>
      </c>
      <c r="E420" t="s">
        <v>637</v>
      </c>
      <c r="F420" t="s">
        <v>641</v>
      </c>
      <c r="G420">
        <v>1</v>
      </c>
      <c r="H420" s="1">
        <v>175</v>
      </c>
      <c r="I420" s="1">
        <v>105</v>
      </c>
      <c r="J420" s="2">
        <v>0</v>
      </c>
      <c r="K420" t="s">
        <v>642</v>
      </c>
      <c r="L420" t="s">
        <v>649</v>
      </c>
      <c r="M420" t="s">
        <v>664</v>
      </c>
    </row>
    <row r="421" spans="1:13" x14ac:dyDescent="0.3">
      <c r="A421" t="s">
        <v>425</v>
      </c>
      <c r="B421" s="4">
        <v>45808</v>
      </c>
      <c r="C421" t="s">
        <v>568</v>
      </c>
      <c r="D421" t="s">
        <v>619</v>
      </c>
      <c r="E421" t="s">
        <v>626</v>
      </c>
      <c r="F421" t="s">
        <v>638</v>
      </c>
      <c r="G421">
        <v>1</v>
      </c>
      <c r="H421" s="1">
        <v>36</v>
      </c>
      <c r="I421" s="1">
        <v>16</v>
      </c>
      <c r="J421" s="2">
        <v>0.1</v>
      </c>
      <c r="K421" t="s">
        <v>645</v>
      </c>
      <c r="L421" t="s">
        <v>649</v>
      </c>
      <c r="M421" t="s">
        <v>666</v>
      </c>
    </row>
    <row r="422" spans="1:13" x14ac:dyDescent="0.3">
      <c r="A422" t="s">
        <v>426</v>
      </c>
      <c r="B422" s="4">
        <v>45705</v>
      </c>
      <c r="C422" t="s">
        <v>568</v>
      </c>
      <c r="D422" t="s">
        <v>621</v>
      </c>
      <c r="E422" t="s">
        <v>632</v>
      </c>
      <c r="F422" t="s">
        <v>639</v>
      </c>
      <c r="G422">
        <v>2</v>
      </c>
      <c r="H422" s="1">
        <v>42</v>
      </c>
      <c r="I422" s="1">
        <v>21</v>
      </c>
      <c r="J422" s="2">
        <v>0.1</v>
      </c>
      <c r="K422" t="s">
        <v>645</v>
      </c>
      <c r="L422" t="s">
        <v>648</v>
      </c>
      <c r="M422" t="s">
        <v>666</v>
      </c>
    </row>
    <row r="423" spans="1:13" x14ac:dyDescent="0.3">
      <c r="A423" t="s">
        <v>427</v>
      </c>
      <c r="B423" s="4">
        <v>45916</v>
      </c>
      <c r="C423" t="s">
        <v>576</v>
      </c>
      <c r="D423" t="s">
        <v>602</v>
      </c>
      <c r="E423" t="s">
        <v>626</v>
      </c>
      <c r="F423" t="s">
        <v>638</v>
      </c>
      <c r="G423">
        <v>4</v>
      </c>
      <c r="H423" s="1">
        <v>36</v>
      </c>
      <c r="I423" s="1">
        <v>16</v>
      </c>
      <c r="J423" s="2">
        <v>0</v>
      </c>
      <c r="K423" t="s">
        <v>644</v>
      </c>
      <c r="L423" t="s">
        <v>648</v>
      </c>
      <c r="M423" t="s">
        <v>669</v>
      </c>
    </row>
    <row r="424" spans="1:13" x14ac:dyDescent="0.3">
      <c r="A424" t="s">
        <v>428</v>
      </c>
      <c r="B424" s="4">
        <v>45704</v>
      </c>
      <c r="C424" t="s">
        <v>570</v>
      </c>
      <c r="D424" t="s">
        <v>618</v>
      </c>
      <c r="E424" t="s">
        <v>626</v>
      </c>
      <c r="F424" t="s">
        <v>638</v>
      </c>
      <c r="G424">
        <v>3</v>
      </c>
      <c r="H424" s="1">
        <v>36</v>
      </c>
      <c r="I424" s="1">
        <v>16</v>
      </c>
      <c r="J424" s="2">
        <v>0.1</v>
      </c>
      <c r="K424" t="s">
        <v>642</v>
      </c>
      <c r="L424" t="s">
        <v>648</v>
      </c>
      <c r="M424" t="s">
        <v>663</v>
      </c>
    </row>
    <row r="425" spans="1:13" x14ac:dyDescent="0.3">
      <c r="A425" t="s">
        <v>429</v>
      </c>
      <c r="B425" s="4">
        <v>45769</v>
      </c>
      <c r="C425" t="s">
        <v>563</v>
      </c>
      <c r="D425" t="s">
        <v>622</v>
      </c>
      <c r="E425" t="s">
        <v>631</v>
      </c>
      <c r="F425" t="s">
        <v>641</v>
      </c>
      <c r="G425">
        <v>2</v>
      </c>
      <c r="H425" s="1">
        <v>85</v>
      </c>
      <c r="I425" s="1">
        <v>44</v>
      </c>
      <c r="J425" s="2">
        <v>0.05</v>
      </c>
      <c r="K425" t="s">
        <v>644</v>
      </c>
      <c r="L425" t="s">
        <v>648</v>
      </c>
      <c r="M425" t="s">
        <v>656</v>
      </c>
    </row>
    <row r="426" spans="1:13" x14ac:dyDescent="0.3">
      <c r="A426" t="s">
        <v>430</v>
      </c>
      <c r="B426" s="4">
        <v>45766</v>
      </c>
      <c r="C426" t="s">
        <v>566</v>
      </c>
      <c r="D426" t="s">
        <v>623</v>
      </c>
      <c r="E426" t="s">
        <v>634</v>
      </c>
      <c r="F426" t="s">
        <v>641</v>
      </c>
      <c r="G426">
        <v>2</v>
      </c>
      <c r="H426" s="1">
        <v>59</v>
      </c>
      <c r="I426" s="1">
        <v>30</v>
      </c>
      <c r="J426" s="2">
        <v>0.15</v>
      </c>
      <c r="K426" t="s">
        <v>645</v>
      </c>
      <c r="L426" t="s">
        <v>651</v>
      </c>
      <c r="M426" t="s">
        <v>659</v>
      </c>
    </row>
    <row r="427" spans="1:13" x14ac:dyDescent="0.3">
      <c r="A427" t="s">
        <v>431</v>
      </c>
      <c r="B427" s="4">
        <v>45716</v>
      </c>
      <c r="C427" t="s">
        <v>570</v>
      </c>
      <c r="D427" t="s">
        <v>599</v>
      </c>
      <c r="E427" t="s">
        <v>628</v>
      </c>
      <c r="F427" t="s">
        <v>639</v>
      </c>
      <c r="G427">
        <v>1</v>
      </c>
      <c r="H427" s="1">
        <v>18</v>
      </c>
      <c r="I427" s="1">
        <v>7</v>
      </c>
      <c r="J427" s="2">
        <v>0.05</v>
      </c>
      <c r="K427" t="s">
        <v>642</v>
      </c>
      <c r="L427" t="s">
        <v>648</v>
      </c>
      <c r="M427" t="s">
        <v>663</v>
      </c>
    </row>
    <row r="428" spans="1:13" x14ac:dyDescent="0.3">
      <c r="A428" t="s">
        <v>432</v>
      </c>
      <c r="B428" s="4">
        <v>45715</v>
      </c>
      <c r="C428" t="s">
        <v>573</v>
      </c>
      <c r="D428" t="s">
        <v>612</v>
      </c>
      <c r="E428" t="s">
        <v>631</v>
      </c>
      <c r="F428" t="s">
        <v>641</v>
      </c>
      <c r="G428">
        <v>3</v>
      </c>
      <c r="H428" s="1">
        <v>85</v>
      </c>
      <c r="I428" s="1">
        <v>44</v>
      </c>
      <c r="J428" s="2">
        <v>0.15</v>
      </c>
      <c r="K428" t="s">
        <v>647</v>
      </c>
      <c r="L428" t="s">
        <v>650</v>
      </c>
      <c r="M428" t="s">
        <v>667</v>
      </c>
    </row>
    <row r="429" spans="1:13" x14ac:dyDescent="0.3">
      <c r="A429" t="s">
        <v>433</v>
      </c>
      <c r="B429" s="4">
        <v>46020</v>
      </c>
      <c r="C429" t="s">
        <v>569</v>
      </c>
      <c r="D429" t="s">
        <v>604</v>
      </c>
      <c r="E429" t="s">
        <v>630</v>
      </c>
      <c r="F429" t="s">
        <v>640</v>
      </c>
      <c r="G429">
        <v>3</v>
      </c>
      <c r="H429" s="1">
        <v>78</v>
      </c>
      <c r="I429" s="1">
        <v>45</v>
      </c>
      <c r="J429" s="2">
        <v>0.15</v>
      </c>
      <c r="K429" t="s">
        <v>642</v>
      </c>
      <c r="L429" t="s">
        <v>650</v>
      </c>
      <c r="M429" t="s">
        <v>662</v>
      </c>
    </row>
    <row r="430" spans="1:13" x14ac:dyDescent="0.3">
      <c r="A430" t="s">
        <v>434</v>
      </c>
      <c r="B430" s="4">
        <v>45804</v>
      </c>
      <c r="C430" t="s">
        <v>575</v>
      </c>
      <c r="D430" t="s">
        <v>617</v>
      </c>
      <c r="E430" t="s">
        <v>626</v>
      </c>
      <c r="F430" t="s">
        <v>638</v>
      </c>
      <c r="G430">
        <v>5</v>
      </c>
      <c r="H430" s="1">
        <v>36</v>
      </c>
      <c r="I430" s="1">
        <v>16</v>
      </c>
      <c r="J430" s="2">
        <v>0.15</v>
      </c>
      <c r="K430" t="s">
        <v>646</v>
      </c>
      <c r="L430" t="s">
        <v>648</v>
      </c>
      <c r="M430" t="s">
        <v>668</v>
      </c>
    </row>
    <row r="431" spans="1:13" x14ac:dyDescent="0.3">
      <c r="A431" t="s">
        <v>435</v>
      </c>
      <c r="B431" s="4">
        <v>45896</v>
      </c>
      <c r="C431" t="s">
        <v>563</v>
      </c>
      <c r="D431" t="s">
        <v>603</v>
      </c>
      <c r="E431" t="s">
        <v>633</v>
      </c>
      <c r="F431" t="s">
        <v>638</v>
      </c>
      <c r="G431">
        <v>1</v>
      </c>
      <c r="H431" s="1">
        <v>210</v>
      </c>
      <c r="I431" s="1">
        <v>125</v>
      </c>
      <c r="J431" s="2">
        <v>0.2</v>
      </c>
      <c r="K431" t="s">
        <v>643</v>
      </c>
      <c r="L431" t="s">
        <v>648</v>
      </c>
      <c r="M431" t="s">
        <v>656</v>
      </c>
    </row>
    <row r="432" spans="1:13" x14ac:dyDescent="0.3">
      <c r="A432" t="s">
        <v>436</v>
      </c>
      <c r="B432" s="4">
        <v>45989</v>
      </c>
      <c r="C432" t="s">
        <v>571</v>
      </c>
      <c r="E432" t="s">
        <v>632</v>
      </c>
      <c r="F432" t="s">
        <v>639</v>
      </c>
      <c r="G432">
        <v>5</v>
      </c>
      <c r="H432" s="1">
        <v>42</v>
      </c>
      <c r="I432" s="1">
        <v>21</v>
      </c>
      <c r="J432" s="2">
        <v>0</v>
      </c>
      <c r="K432" t="s">
        <v>642</v>
      </c>
      <c r="L432" t="s">
        <v>648</v>
      </c>
      <c r="M432" t="s">
        <v>664</v>
      </c>
    </row>
    <row r="433" spans="1:13" x14ac:dyDescent="0.3">
      <c r="A433" t="s">
        <v>437</v>
      </c>
      <c r="B433" s="4">
        <v>45767</v>
      </c>
      <c r="C433" t="s">
        <v>584</v>
      </c>
      <c r="D433" t="s">
        <v>610</v>
      </c>
      <c r="E433" t="s">
        <v>632</v>
      </c>
      <c r="F433" t="s">
        <v>639</v>
      </c>
      <c r="G433">
        <v>5</v>
      </c>
      <c r="H433" s="1">
        <v>42</v>
      </c>
      <c r="I433" s="1">
        <v>21</v>
      </c>
      <c r="J433" s="2">
        <v>0</v>
      </c>
      <c r="K433" t="s">
        <v>645</v>
      </c>
      <c r="L433" t="s">
        <v>650</v>
      </c>
      <c r="M433" t="s">
        <v>675</v>
      </c>
    </row>
    <row r="434" spans="1:13" x14ac:dyDescent="0.3">
      <c r="A434" t="s">
        <v>438</v>
      </c>
      <c r="B434" s="4">
        <v>45913</v>
      </c>
      <c r="C434" t="s">
        <v>584</v>
      </c>
      <c r="D434" t="s">
        <v>618</v>
      </c>
      <c r="E434" t="s">
        <v>635</v>
      </c>
      <c r="F434" t="s">
        <v>639</v>
      </c>
      <c r="G434">
        <v>3</v>
      </c>
      <c r="H434" s="1">
        <v>65</v>
      </c>
      <c r="I434" s="1">
        <v>31</v>
      </c>
      <c r="J434" s="2">
        <v>0.05</v>
      </c>
      <c r="K434" t="s">
        <v>645</v>
      </c>
      <c r="L434" t="s">
        <v>650</v>
      </c>
      <c r="M434" t="s">
        <v>675</v>
      </c>
    </row>
    <row r="435" spans="1:13" x14ac:dyDescent="0.3">
      <c r="A435" t="s">
        <v>439</v>
      </c>
      <c r="B435" s="4">
        <v>45785</v>
      </c>
      <c r="C435" t="s">
        <v>564</v>
      </c>
      <c r="D435" t="s">
        <v>604</v>
      </c>
      <c r="E435" t="s">
        <v>627</v>
      </c>
      <c r="F435" t="s">
        <v>639</v>
      </c>
      <c r="G435">
        <v>5</v>
      </c>
      <c r="H435" s="1">
        <v>38</v>
      </c>
      <c r="I435" s="1">
        <v>17</v>
      </c>
      <c r="J435" s="2">
        <v>0</v>
      </c>
      <c r="K435" t="s">
        <v>646</v>
      </c>
      <c r="L435" t="s">
        <v>648</v>
      </c>
      <c r="M435" t="s">
        <v>657</v>
      </c>
    </row>
    <row r="436" spans="1:13" x14ac:dyDescent="0.3">
      <c r="A436" t="s">
        <v>440</v>
      </c>
      <c r="B436" s="4">
        <v>45798</v>
      </c>
      <c r="C436" t="s">
        <v>584</v>
      </c>
      <c r="D436" t="s">
        <v>622</v>
      </c>
      <c r="E436" t="s">
        <v>637</v>
      </c>
      <c r="F436" t="s">
        <v>641</v>
      </c>
      <c r="G436">
        <v>1</v>
      </c>
      <c r="H436" s="1">
        <v>175</v>
      </c>
      <c r="I436" s="1">
        <v>105</v>
      </c>
      <c r="J436" s="2">
        <v>0</v>
      </c>
      <c r="K436" t="s">
        <v>642</v>
      </c>
      <c r="L436" t="s">
        <v>649</v>
      </c>
      <c r="M436" t="s">
        <v>675</v>
      </c>
    </row>
    <row r="437" spans="1:13" x14ac:dyDescent="0.3">
      <c r="A437" t="s">
        <v>441</v>
      </c>
      <c r="B437" s="4">
        <v>45818</v>
      </c>
      <c r="C437" t="s">
        <v>578</v>
      </c>
      <c r="D437" t="s">
        <v>607</v>
      </c>
      <c r="E437" t="s">
        <v>630</v>
      </c>
      <c r="F437" t="s">
        <v>640</v>
      </c>
      <c r="G437">
        <v>1</v>
      </c>
      <c r="H437" s="1">
        <v>78</v>
      </c>
      <c r="I437" s="1">
        <v>45</v>
      </c>
      <c r="J437" s="2">
        <v>0.05</v>
      </c>
      <c r="K437" t="s">
        <v>643</v>
      </c>
      <c r="L437" t="s">
        <v>648</v>
      </c>
      <c r="M437" t="s">
        <v>671</v>
      </c>
    </row>
    <row r="438" spans="1:13" x14ac:dyDescent="0.3">
      <c r="A438" t="s">
        <v>442</v>
      </c>
      <c r="B438" s="4">
        <v>45943</v>
      </c>
      <c r="C438" t="s">
        <v>578</v>
      </c>
      <c r="D438" t="s">
        <v>603</v>
      </c>
      <c r="E438" t="s">
        <v>630</v>
      </c>
      <c r="F438" t="s">
        <v>640</v>
      </c>
      <c r="G438">
        <v>1</v>
      </c>
      <c r="H438" s="1">
        <v>78</v>
      </c>
      <c r="I438" s="1">
        <v>45</v>
      </c>
      <c r="J438" s="2">
        <v>0</v>
      </c>
      <c r="K438" t="s">
        <v>645</v>
      </c>
      <c r="L438" t="s">
        <v>649</v>
      </c>
      <c r="M438" t="s">
        <v>671</v>
      </c>
    </row>
    <row r="439" spans="1:13" x14ac:dyDescent="0.3">
      <c r="A439" t="s">
        <v>443</v>
      </c>
      <c r="B439" s="4">
        <v>45893</v>
      </c>
      <c r="C439" t="s">
        <v>573</v>
      </c>
      <c r="D439" t="s">
        <v>613</v>
      </c>
      <c r="E439" t="s">
        <v>635</v>
      </c>
      <c r="F439" t="s">
        <v>639</v>
      </c>
      <c r="G439">
        <v>4</v>
      </c>
      <c r="H439" s="1">
        <v>65</v>
      </c>
      <c r="I439" s="1">
        <v>31</v>
      </c>
      <c r="J439" s="2">
        <v>0.1</v>
      </c>
      <c r="K439" t="s">
        <v>643</v>
      </c>
      <c r="L439" t="s">
        <v>651</v>
      </c>
      <c r="M439" t="s">
        <v>667</v>
      </c>
    </row>
    <row r="440" spans="1:13" x14ac:dyDescent="0.3">
      <c r="A440" t="s">
        <v>444</v>
      </c>
      <c r="B440" s="4">
        <v>46000</v>
      </c>
      <c r="C440" t="s">
        <v>582</v>
      </c>
      <c r="D440" t="s">
        <v>614</v>
      </c>
      <c r="E440" t="s">
        <v>634</v>
      </c>
      <c r="F440" t="s">
        <v>641</v>
      </c>
      <c r="G440">
        <v>3</v>
      </c>
      <c r="H440" s="1">
        <v>59</v>
      </c>
      <c r="I440" s="1">
        <v>30</v>
      </c>
      <c r="J440" s="2">
        <v>0</v>
      </c>
      <c r="K440" t="s">
        <v>642</v>
      </c>
      <c r="L440" t="s">
        <v>648</v>
      </c>
      <c r="M440" t="s">
        <v>658</v>
      </c>
    </row>
    <row r="441" spans="1:13" x14ac:dyDescent="0.3">
      <c r="A441" t="s">
        <v>445</v>
      </c>
      <c r="B441" s="4">
        <v>45921</v>
      </c>
      <c r="C441" t="s">
        <v>583</v>
      </c>
      <c r="D441" t="s">
        <v>608</v>
      </c>
      <c r="E441" t="s">
        <v>631</v>
      </c>
      <c r="F441" t="s">
        <v>641</v>
      </c>
      <c r="G441">
        <v>3</v>
      </c>
      <c r="H441" s="1">
        <v>85</v>
      </c>
      <c r="I441" s="1">
        <v>44</v>
      </c>
      <c r="J441" s="2">
        <v>0</v>
      </c>
      <c r="K441" t="s">
        <v>645</v>
      </c>
      <c r="L441" t="s">
        <v>651</v>
      </c>
      <c r="M441" t="s">
        <v>673</v>
      </c>
    </row>
    <row r="442" spans="1:13" x14ac:dyDescent="0.3">
      <c r="A442" t="s">
        <v>446</v>
      </c>
      <c r="B442" s="4">
        <v>45880</v>
      </c>
      <c r="C442" t="s">
        <v>580</v>
      </c>
      <c r="D442" t="s">
        <v>608</v>
      </c>
      <c r="E442" t="s">
        <v>636</v>
      </c>
      <c r="F442" t="s">
        <v>641</v>
      </c>
      <c r="G442">
        <v>3</v>
      </c>
      <c r="H442" s="1">
        <v>245</v>
      </c>
      <c r="I442" s="1">
        <v>150</v>
      </c>
      <c r="J442" s="2">
        <v>0</v>
      </c>
      <c r="L442" t="s">
        <v>648</v>
      </c>
      <c r="M442" t="s">
        <v>672</v>
      </c>
    </row>
    <row r="443" spans="1:13" x14ac:dyDescent="0.3">
      <c r="A443" t="s">
        <v>447</v>
      </c>
      <c r="B443" s="4">
        <v>45703</v>
      </c>
      <c r="C443" t="s">
        <v>571</v>
      </c>
      <c r="D443" t="s">
        <v>610</v>
      </c>
      <c r="E443" t="s">
        <v>631</v>
      </c>
      <c r="F443" t="s">
        <v>641</v>
      </c>
      <c r="G443">
        <v>2</v>
      </c>
      <c r="H443" s="1">
        <v>85</v>
      </c>
      <c r="I443" s="1">
        <v>44</v>
      </c>
      <c r="J443" s="2">
        <v>0.05</v>
      </c>
      <c r="K443" t="s">
        <v>643</v>
      </c>
      <c r="L443" t="s">
        <v>650</v>
      </c>
      <c r="M443" t="s">
        <v>664</v>
      </c>
    </row>
    <row r="444" spans="1:13" x14ac:dyDescent="0.3">
      <c r="A444" t="s">
        <v>448</v>
      </c>
      <c r="B444" s="4">
        <v>45958</v>
      </c>
      <c r="C444" t="s">
        <v>584</v>
      </c>
      <c r="D444" t="s">
        <v>624</v>
      </c>
      <c r="E444" t="s">
        <v>636</v>
      </c>
      <c r="F444" t="s">
        <v>641</v>
      </c>
      <c r="G444">
        <v>4</v>
      </c>
      <c r="H444" s="1">
        <v>245</v>
      </c>
      <c r="I444" s="1">
        <v>150</v>
      </c>
      <c r="J444" s="2">
        <v>0.1</v>
      </c>
      <c r="K444" t="s">
        <v>647</v>
      </c>
      <c r="L444" t="s">
        <v>651</v>
      </c>
      <c r="M444" t="s">
        <v>675</v>
      </c>
    </row>
    <row r="445" spans="1:13" x14ac:dyDescent="0.3">
      <c r="A445" t="s">
        <v>449</v>
      </c>
      <c r="B445" s="4">
        <v>45769</v>
      </c>
      <c r="C445" t="s">
        <v>567</v>
      </c>
      <c r="D445" t="s">
        <v>607</v>
      </c>
      <c r="E445" t="s">
        <v>631</v>
      </c>
      <c r="F445" t="s">
        <v>641</v>
      </c>
      <c r="G445">
        <v>1</v>
      </c>
      <c r="H445" s="1">
        <v>85</v>
      </c>
      <c r="I445" s="1">
        <v>44</v>
      </c>
      <c r="J445" s="2">
        <v>0</v>
      </c>
      <c r="K445" t="s">
        <v>642</v>
      </c>
      <c r="L445" t="s">
        <v>651</v>
      </c>
      <c r="M445" t="s">
        <v>660</v>
      </c>
    </row>
    <row r="446" spans="1:13" x14ac:dyDescent="0.3">
      <c r="A446" t="s">
        <v>450</v>
      </c>
      <c r="B446" s="4">
        <v>45747</v>
      </c>
      <c r="C446" t="s">
        <v>586</v>
      </c>
      <c r="D446" t="s">
        <v>618</v>
      </c>
      <c r="E446" t="s">
        <v>635</v>
      </c>
      <c r="F446" t="s">
        <v>639</v>
      </c>
      <c r="G446">
        <v>4</v>
      </c>
      <c r="H446" s="1">
        <v>65</v>
      </c>
      <c r="I446" s="1">
        <v>31</v>
      </c>
      <c r="J446" s="2">
        <v>0.05</v>
      </c>
      <c r="K446" t="s">
        <v>643</v>
      </c>
      <c r="L446" t="s">
        <v>648</v>
      </c>
      <c r="M446" t="s">
        <v>671</v>
      </c>
    </row>
    <row r="447" spans="1:13" x14ac:dyDescent="0.3">
      <c r="A447" t="s">
        <v>451</v>
      </c>
      <c r="B447" s="4">
        <v>45664</v>
      </c>
      <c r="C447" t="s">
        <v>568</v>
      </c>
      <c r="D447" t="s">
        <v>604</v>
      </c>
      <c r="E447" t="s">
        <v>631</v>
      </c>
      <c r="F447" t="s">
        <v>641</v>
      </c>
      <c r="G447">
        <v>4</v>
      </c>
      <c r="H447" s="1">
        <v>85</v>
      </c>
      <c r="I447" s="1">
        <v>44</v>
      </c>
      <c r="J447" s="2">
        <v>0.1</v>
      </c>
      <c r="K447" t="s">
        <v>644</v>
      </c>
      <c r="L447" t="s">
        <v>649</v>
      </c>
      <c r="M447" t="s">
        <v>666</v>
      </c>
    </row>
    <row r="448" spans="1:13" x14ac:dyDescent="0.3">
      <c r="A448" t="s">
        <v>452</v>
      </c>
      <c r="B448" s="4">
        <v>45982</v>
      </c>
      <c r="C448" t="s">
        <v>575</v>
      </c>
      <c r="D448" t="s">
        <v>605</v>
      </c>
      <c r="E448" t="s">
        <v>631</v>
      </c>
      <c r="F448" t="s">
        <v>641</v>
      </c>
      <c r="G448">
        <v>4</v>
      </c>
      <c r="H448" s="1">
        <v>85</v>
      </c>
      <c r="I448" s="1">
        <v>44</v>
      </c>
      <c r="J448" s="2">
        <v>0.05</v>
      </c>
      <c r="K448" t="s">
        <v>646</v>
      </c>
      <c r="L448" t="s">
        <v>648</v>
      </c>
      <c r="M448" t="s">
        <v>668</v>
      </c>
    </row>
    <row r="449" spans="1:13" x14ac:dyDescent="0.3">
      <c r="A449" t="s">
        <v>453</v>
      </c>
      <c r="B449" s="4">
        <v>45920</v>
      </c>
      <c r="C449" t="s">
        <v>571</v>
      </c>
      <c r="D449" t="s">
        <v>601</v>
      </c>
      <c r="E449" t="s">
        <v>635</v>
      </c>
      <c r="F449" t="s">
        <v>639</v>
      </c>
      <c r="G449">
        <v>3</v>
      </c>
      <c r="H449" s="1">
        <v>65</v>
      </c>
      <c r="I449" s="1">
        <v>31</v>
      </c>
      <c r="J449" s="2">
        <v>0.05</v>
      </c>
      <c r="K449" t="s">
        <v>646</v>
      </c>
      <c r="L449" t="s">
        <v>649</v>
      </c>
      <c r="M449" t="s">
        <v>664</v>
      </c>
    </row>
    <row r="450" spans="1:13" x14ac:dyDescent="0.3">
      <c r="A450" t="s">
        <v>454</v>
      </c>
      <c r="B450" s="4">
        <v>45696</v>
      </c>
      <c r="C450" t="s">
        <v>569</v>
      </c>
      <c r="D450" t="s">
        <v>607</v>
      </c>
      <c r="E450" t="s">
        <v>632</v>
      </c>
      <c r="F450" t="s">
        <v>639</v>
      </c>
      <c r="G450">
        <v>4</v>
      </c>
      <c r="H450" s="1">
        <v>42</v>
      </c>
      <c r="I450" s="1">
        <v>21</v>
      </c>
      <c r="J450" s="2">
        <v>0.05</v>
      </c>
      <c r="K450" t="s">
        <v>645</v>
      </c>
      <c r="L450" t="s">
        <v>649</v>
      </c>
      <c r="M450" t="s">
        <v>662</v>
      </c>
    </row>
    <row r="451" spans="1:13" x14ac:dyDescent="0.3">
      <c r="A451" t="s">
        <v>455</v>
      </c>
      <c r="B451" s="4">
        <v>46018</v>
      </c>
      <c r="C451" t="s">
        <v>566</v>
      </c>
      <c r="D451" t="s">
        <v>610</v>
      </c>
      <c r="E451" t="s">
        <v>637</v>
      </c>
      <c r="F451" t="s">
        <v>641</v>
      </c>
      <c r="G451">
        <v>3</v>
      </c>
      <c r="H451" s="1">
        <v>175</v>
      </c>
      <c r="I451" s="1">
        <v>105</v>
      </c>
      <c r="J451" s="2">
        <v>0.1</v>
      </c>
      <c r="K451" t="s">
        <v>644</v>
      </c>
      <c r="L451" t="s">
        <v>648</v>
      </c>
      <c r="M451" t="s">
        <v>659</v>
      </c>
    </row>
    <row r="452" spans="1:13" x14ac:dyDescent="0.3">
      <c r="A452" t="s">
        <v>456</v>
      </c>
      <c r="B452" s="4">
        <v>46022</v>
      </c>
      <c r="C452" t="s">
        <v>583</v>
      </c>
      <c r="D452" t="s">
        <v>600</v>
      </c>
      <c r="E452" t="s">
        <v>634</v>
      </c>
      <c r="F452" t="s">
        <v>641</v>
      </c>
      <c r="G452">
        <v>4</v>
      </c>
      <c r="H452" s="1">
        <v>59</v>
      </c>
      <c r="I452" s="1">
        <v>30</v>
      </c>
      <c r="J452" s="2">
        <v>0.2</v>
      </c>
      <c r="K452" t="s">
        <v>642</v>
      </c>
      <c r="L452" t="s">
        <v>651</v>
      </c>
      <c r="M452" t="s">
        <v>673</v>
      </c>
    </row>
    <row r="453" spans="1:13" x14ac:dyDescent="0.3">
      <c r="A453" t="s">
        <v>457</v>
      </c>
      <c r="B453" s="4">
        <v>45771</v>
      </c>
      <c r="C453" t="s">
        <v>566</v>
      </c>
      <c r="D453" t="s">
        <v>618</v>
      </c>
      <c r="E453" t="s">
        <v>633</v>
      </c>
      <c r="F453" t="s">
        <v>638</v>
      </c>
      <c r="G453">
        <v>1</v>
      </c>
      <c r="H453" s="1">
        <v>210</v>
      </c>
      <c r="I453" s="1">
        <v>125</v>
      </c>
      <c r="J453" s="2">
        <v>0.1</v>
      </c>
      <c r="K453" t="s">
        <v>644</v>
      </c>
      <c r="L453" t="s">
        <v>648</v>
      </c>
      <c r="M453" t="s">
        <v>659</v>
      </c>
    </row>
    <row r="454" spans="1:13" x14ac:dyDescent="0.3">
      <c r="A454" t="s">
        <v>458</v>
      </c>
      <c r="B454" s="4">
        <v>45967</v>
      </c>
      <c r="C454" t="s">
        <v>570</v>
      </c>
      <c r="D454" t="s">
        <v>613</v>
      </c>
      <c r="E454" t="s">
        <v>637</v>
      </c>
      <c r="F454" t="s">
        <v>641</v>
      </c>
      <c r="G454">
        <v>5</v>
      </c>
      <c r="H454" s="1">
        <v>175</v>
      </c>
      <c r="I454" s="1">
        <v>105</v>
      </c>
      <c r="J454" s="2">
        <v>0.05</v>
      </c>
      <c r="K454" t="s">
        <v>647</v>
      </c>
      <c r="L454" t="s">
        <v>648</v>
      </c>
      <c r="M454" t="s">
        <v>663</v>
      </c>
    </row>
    <row r="455" spans="1:13" x14ac:dyDescent="0.3">
      <c r="A455" t="s">
        <v>459</v>
      </c>
      <c r="B455" s="4">
        <v>45817</v>
      </c>
      <c r="C455" t="s">
        <v>563</v>
      </c>
      <c r="D455" t="s">
        <v>609</v>
      </c>
      <c r="E455" t="s">
        <v>629</v>
      </c>
      <c r="F455" t="s">
        <v>640</v>
      </c>
      <c r="G455">
        <v>1</v>
      </c>
      <c r="H455" s="1">
        <v>92</v>
      </c>
      <c r="I455" s="1">
        <v>53</v>
      </c>
      <c r="J455" s="2">
        <v>0</v>
      </c>
      <c r="K455" t="s">
        <v>646</v>
      </c>
      <c r="L455" t="s">
        <v>649</v>
      </c>
      <c r="M455" t="s">
        <v>656</v>
      </c>
    </row>
    <row r="456" spans="1:13" x14ac:dyDescent="0.3">
      <c r="A456" t="s">
        <v>460</v>
      </c>
      <c r="B456" s="4">
        <v>45865</v>
      </c>
      <c r="C456" t="s">
        <v>569</v>
      </c>
      <c r="D456" t="s">
        <v>618</v>
      </c>
      <c r="E456" t="s">
        <v>629</v>
      </c>
      <c r="F456" t="s">
        <v>640</v>
      </c>
      <c r="G456">
        <v>1</v>
      </c>
      <c r="H456" s="1">
        <v>92</v>
      </c>
      <c r="I456" s="1">
        <v>53</v>
      </c>
      <c r="J456" s="2">
        <v>0.1</v>
      </c>
      <c r="K456" t="s">
        <v>644</v>
      </c>
      <c r="L456" t="s">
        <v>648</v>
      </c>
      <c r="M456" t="s">
        <v>662</v>
      </c>
    </row>
    <row r="457" spans="1:13" x14ac:dyDescent="0.3">
      <c r="A457" t="s">
        <v>461</v>
      </c>
      <c r="B457" s="4">
        <v>45757</v>
      </c>
      <c r="C457" t="s">
        <v>584</v>
      </c>
      <c r="D457" t="s">
        <v>611</v>
      </c>
      <c r="E457" t="s">
        <v>626</v>
      </c>
      <c r="F457" t="s">
        <v>638</v>
      </c>
      <c r="G457">
        <v>4</v>
      </c>
      <c r="H457" s="1">
        <v>36</v>
      </c>
      <c r="I457" s="1">
        <v>16</v>
      </c>
      <c r="J457" s="2">
        <v>0.15</v>
      </c>
      <c r="K457" t="s">
        <v>647</v>
      </c>
      <c r="L457" t="s">
        <v>648</v>
      </c>
      <c r="M457" t="s">
        <v>675</v>
      </c>
    </row>
    <row r="458" spans="1:13" x14ac:dyDescent="0.3">
      <c r="A458" t="s">
        <v>462</v>
      </c>
      <c r="B458" s="4">
        <v>45870</v>
      </c>
      <c r="C458" t="s">
        <v>575</v>
      </c>
      <c r="D458" t="s">
        <v>610</v>
      </c>
      <c r="E458" t="s">
        <v>634</v>
      </c>
      <c r="F458" t="s">
        <v>641</v>
      </c>
      <c r="G458">
        <v>4</v>
      </c>
      <c r="H458" s="1">
        <v>59</v>
      </c>
      <c r="I458" s="1">
        <v>30</v>
      </c>
      <c r="J458" s="2">
        <v>0.1</v>
      </c>
      <c r="K458" t="s">
        <v>646</v>
      </c>
      <c r="L458" t="s">
        <v>648</v>
      </c>
      <c r="M458" t="s">
        <v>668</v>
      </c>
    </row>
    <row r="459" spans="1:13" x14ac:dyDescent="0.3">
      <c r="A459" t="s">
        <v>463</v>
      </c>
      <c r="B459" s="4">
        <v>45966</v>
      </c>
      <c r="C459" t="s">
        <v>568</v>
      </c>
      <c r="D459" t="s">
        <v>613</v>
      </c>
      <c r="E459" t="s">
        <v>626</v>
      </c>
      <c r="F459" t="s">
        <v>638</v>
      </c>
      <c r="G459">
        <v>5</v>
      </c>
      <c r="H459" s="1">
        <v>36</v>
      </c>
      <c r="I459" s="1">
        <v>16</v>
      </c>
      <c r="J459" s="2">
        <v>0</v>
      </c>
      <c r="K459" t="s">
        <v>642</v>
      </c>
      <c r="L459" t="s">
        <v>648</v>
      </c>
      <c r="M459" t="s">
        <v>666</v>
      </c>
    </row>
    <row r="460" spans="1:13" x14ac:dyDescent="0.3">
      <c r="A460" t="s">
        <v>464</v>
      </c>
      <c r="B460" s="4">
        <v>45879</v>
      </c>
      <c r="C460" t="s">
        <v>570</v>
      </c>
      <c r="D460" t="s">
        <v>622</v>
      </c>
      <c r="E460" t="s">
        <v>631</v>
      </c>
      <c r="F460" t="s">
        <v>641</v>
      </c>
      <c r="G460">
        <v>2</v>
      </c>
      <c r="H460" s="1">
        <v>85</v>
      </c>
      <c r="I460" s="1">
        <v>44</v>
      </c>
      <c r="J460" s="2">
        <v>0.05</v>
      </c>
      <c r="K460" t="s">
        <v>642</v>
      </c>
      <c r="L460" t="s">
        <v>648</v>
      </c>
      <c r="M460" t="s">
        <v>663</v>
      </c>
    </row>
    <row r="461" spans="1:13" x14ac:dyDescent="0.3">
      <c r="A461" t="s">
        <v>465</v>
      </c>
      <c r="B461" s="4">
        <v>45911</v>
      </c>
      <c r="C461" t="s">
        <v>570</v>
      </c>
      <c r="D461" t="s">
        <v>600</v>
      </c>
      <c r="E461" t="s">
        <v>632</v>
      </c>
      <c r="F461" t="s">
        <v>639</v>
      </c>
      <c r="G461">
        <v>3</v>
      </c>
      <c r="H461" s="1">
        <v>42</v>
      </c>
      <c r="I461" s="1">
        <v>21</v>
      </c>
      <c r="J461" s="2">
        <v>0</v>
      </c>
      <c r="K461" t="s">
        <v>644</v>
      </c>
      <c r="L461" t="s">
        <v>648</v>
      </c>
      <c r="M461" t="s">
        <v>663</v>
      </c>
    </row>
    <row r="462" spans="1:13" x14ac:dyDescent="0.3">
      <c r="A462" t="s">
        <v>466</v>
      </c>
      <c r="B462" s="4">
        <v>45847</v>
      </c>
      <c r="C462" t="s">
        <v>564</v>
      </c>
      <c r="D462" t="s">
        <v>604</v>
      </c>
      <c r="E462" t="s">
        <v>626</v>
      </c>
      <c r="F462" t="s">
        <v>638</v>
      </c>
      <c r="G462">
        <v>5</v>
      </c>
      <c r="H462" s="1">
        <v>36</v>
      </c>
      <c r="I462" s="1">
        <v>16</v>
      </c>
      <c r="J462" s="2">
        <v>0</v>
      </c>
      <c r="K462" t="s">
        <v>647</v>
      </c>
      <c r="L462" t="s">
        <v>651</v>
      </c>
      <c r="M462" t="s">
        <v>657</v>
      </c>
    </row>
    <row r="463" spans="1:13" x14ac:dyDescent="0.3">
      <c r="A463" t="s">
        <v>467</v>
      </c>
      <c r="B463" s="4">
        <v>45779</v>
      </c>
      <c r="C463" t="s">
        <v>571</v>
      </c>
      <c r="D463" t="s">
        <v>615</v>
      </c>
      <c r="E463" t="s">
        <v>630</v>
      </c>
      <c r="F463" t="s">
        <v>640</v>
      </c>
      <c r="G463">
        <v>2</v>
      </c>
      <c r="H463" s="1">
        <v>78</v>
      </c>
      <c r="I463" s="1">
        <v>45</v>
      </c>
      <c r="J463" s="2">
        <v>0</v>
      </c>
      <c r="K463" t="s">
        <v>643</v>
      </c>
      <c r="L463" t="s">
        <v>650</v>
      </c>
      <c r="M463" t="s">
        <v>664</v>
      </c>
    </row>
    <row r="464" spans="1:13" x14ac:dyDescent="0.3">
      <c r="A464" t="s">
        <v>468</v>
      </c>
      <c r="B464" s="4">
        <v>45902</v>
      </c>
      <c r="C464" t="s">
        <v>572</v>
      </c>
      <c r="D464" t="s">
        <v>604</v>
      </c>
      <c r="E464" t="s">
        <v>630</v>
      </c>
      <c r="F464" t="s">
        <v>640</v>
      </c>
      <c r="G464">
        <v>3</v>
      </c>
      <c r="H464" s="1">
        <v>78</v>
      </c>
      <c r="I464" s="1">
        <v>45</v>
      </c>
      <c r="J464" s="2">
        <v>0.05</v>
      </c>
      <c r="K464" t="s">
        <v>642</v>
      </c>
      <c r="L464" t="s">
        <v>649</v>
      </c>
      <c r="M464" t="s">
        <v>665</v>
      </c>
    </row>
    <row r="465" spans="1:13" x14ac:dyDescent="0.3">
      <c r="A465" t="s">
        <v>469</v>
      </c>
      <c r="B465" s="4">
        <v>45977</v>
      </c>
      <c r="C465" t="s">
        <v>573</v>
      </c>
      <c r="D465" t="s">
        <v>618</v>
      </c>
      <c r="E465" t="s">
        <v>633</v>
      </c>
      <c r="F465" t="s">
        <v>638</v>
      </c>
      <c r="G465">
        <v>5</v>
      </c>
      <c r="H465" s="1">
        <v>210</v>
      </c>
      <c r="I465" s="1">
        <v>125</v>
      </c>
      <c r="J465" s="2">
        <v>0.05</v>
      </c>
      <c r="K465" t="s">
        <v>642</v>
      </c>
      <c r="L465" t="s">
        <v>648</v>
      </c>
      <c r="M465" t="s">
        <v>667</v>
      </c>
    </row>
    <row r="466" spans="1:13" x14ac:dyDescent="0.3">
      <c r="A466" t="s">
        <v>470</v>
      </c>
      <c r="B466" s="4">
        <v>45913</v>
      </c>
      <c r="C466" t="s">
        <v>576</v>
      </c>
      <c r="D466" t="s">
        <v>603</v>
      </c>
      <c r="E466" t="s">
        <v>630</v>
      </c>
      <c r="F466" t="s">
        <v>640</v>
      </c>
      <c r="G466">
        <v>1</v>
      </c>
      <c r="H466" s="1">
        <v>78</v>
      </c>
      <c r="I466" s="1">
        <v>45</v>
      </c>
      <c r="J466" s="2">
        <v>0.15</v>
      </c>
      <c r="K466" t="s">
        <v>642</v>
      </c>
      <c r="L466" t="s">
        <v>648</v>
      </c>
      <c r="M466" t="s">
        <v>669</v>
      </c>
    </row>
    <row r="467" spans="1:13" x14ac:dyDescent="0.3">
      <c r="A467" t="s">
        <v>471</v>
      </c>
      <c r="B467" s="4">
        <v>45750</v>
      </c>
      <c r="C467" t="s">
        <v>570</v>
      </c>
      <c r="D467" t="s">
        <v>613</v>
      </c>
      <c r="E467" t="s">
        <v>637</v>
      </c>
      <c r="F467" t="s">
        <v>641</v>
      </c>
      <c r="G467">
        <v>3</v>
      </c>
      <c r="H467" s="1">
        <v>175</v>
      </c>
      <c r="I467" s="1">
        <v>105</v>
      </c>
      <c r="J467" s="2">
        <v>0.15</v>
      </c>
      <c r="K467" t="s">
        <v>646</v>
      </c>
      <c r="L467" t="s">
        <v>648</v>
      </c>
      <c r="M467" t="s">
        <v>663</v>
      </c>
    </row>
    <row r="468" spans="1:13" x14ac:dyDescent="0.3">
      <c r="A468" t="s">
        <v>472</v>
      </c>
      <c r="B468" s="4">
        <v>45752</v>
      </c>
      <c r="C468" t="s">
        <v>569</v>
      </c>
      <c r="D468" t="s">
        <v>603</v>
      </c>
      <c r="E468" t="s">
        <v>627</v>
      </c>
      <c r="F468" t="s">
        <v>639</v>
      </c>
      <c r="G468">
        <v>4</v>
      </c>
      <c r="H468" s="1">
        <v>38</v>
      </c>
      <c r="I468" s="1">
        <v>17</v>
      </c>
      <c r="J468" s="2">
        <v>0</v>
      </c>
      <c r="K468" t="s">
        <v>645</v>
      </c>
      <c r="L468" t="s">
        <v>651</v>
      </c>
      <c r="M468" t="s">
        <v>662</v>
      </c>
    </row>
    <row r="469" spans="1:13" x14ac:dyDescent="0.3">
      <c r="A469" t="s">
        <v>473</v>
      </c>
      <c r="B469" s="4">
        <v>45947</v>
      </c>
      <c r="C469" t="s">
        <v>564</v>
      </c>
      <c r="D469" t="s">
        <v>602</v>
      </c>
      <c r="E469" t="s">
        <v>628</v>
      </c>
      <c r="F469" t="s">
        <v>639</v>
      </c>
      <c r="G469">
        <v>3</v>
      </c>
      <c r="H469" s="1">
        <v>18</v>
      </c>
      <c r="I469" s="1">
        <v>7</v>
      </c>
      <c r="J469" s="2">
        <v>0.05</v>
      </c>
      <c r="K469" t="s">
        <v>642</v>
      </c>
      <c r="L469" t="s">
        <v>649</v>
      </c>
      <c r="M469" t="s">
        <v>657</v>
      </c>
    </row>
    <row r="470" spans="1:13" x14ac:dyDescent="0.3">
      <c r="A470" t="s">
        <v>474</v>
      </c>
      <c r="B470" s="4">
        <v>45997</v>
      </c>
      <c r="C470" t="s">
        <v>572</v>
      </c>
      <c r="D470" t="s">
        <v>614</v>
      </c>
      <c r="E470" t="s">
        <v>636</v>
      </c>
      <c r="F470" t="s">
        <v>641</v>
      </c>
      <c r="G470">
        <v>3</v>
      </c>
      <c r="H470" s="1">
        <v>245</v>
      </c>
      <c r="I470" s="1">
        <v>150</v>
      </c>
      <c r="J470" s="2">
        <v>0.15</v>
      </c>
      <c r="K470" t="s">
        <v>645</v>
      </c>
      <c r="L470" t="s">
        <v>649</v>
      </c>
      <c r="M470" t="s">
        <v>665</v>
      </c>
    </row>
    <row r="471" spans="1:13" x14ac:dyDescent="0.3">
      <c r="A471" t="s">
        <v>475</v>
      </c>
      <c r="B471" s="4">
        <v>45809</v>
      </c>
      <c r="C471" t="s">
        <v>570</v>
      </c>
      <c r="D471" t="s">
        <v>602</v>
      </c>
      <c r="E471" t="s">
        <v>626</v>
      </c>
      <c r="F471" t="s">
        <v>638</v>
      </c>
      <c r="G471">
        <v>3</v>
      </c>
      <c r="H471" s="1">
        <v>36</v>
      </c>
      <c r="I471" s="1">
        <v>16</v>
      </c>
      <c r="J471" s="2">
        <v>0.05</v>
      </c>
      <c r="K471" t="s">
        <v>646</v>
      </c>
      <c r="L471" t="s">
        <v>650</v>
      </c>
      <c r="M471" t="s">
        <v>663</v>
      </c>
    </row>
    <row r="472" spans="1:13" x14ac:dyDescent="0.3">
      <c r="A472" t="s">
        <v>476</v>
      </c>
      <c r="B472" s="4">
        <v>45832</v>
      </c>
      <c r="C472" t="s">
        <v>580</v>
      </c>
      <c r="D472" t="s">
        <v>602</v>
      </c>
      <c r="E472" t="s">
        <v>627</v>
      </c>
      <c r="F472" t="s">
        <v>639</v>
      </c>
      <c r="G472">
        <v>5</v>
      </c>
      <c r="H472" s="1">
        <v>38</v>
      </c>
      <c r="I472" s="1">
        <v>17</v>
      </c>
      <c r="J472" s="2">
        <v>0.15</v>
      </c>
      <c r="K472" t="s">
        <v>647</v>
      </c>
      <c r="L472" t="s">
        <v>650</v>
      </c>
      <c r="M472" t="s">
        <v>672</v>
      </c>
    </row>
    <row r="473" spans="1:13" x14ac:dyDescent="0.3">
      <c r="A473" t="s">
        <v>477</v>
      </c>
      <c r="B473" s="4">
        <v>45780</v>
      </c>
      <c r="C473" t="s">
        <v>572</v>
      </c>
      <c r="D473" t="s">
        <v>617</v>
      </c>
      <c r="E473" t="s">
        <v>629</v>
      </c>
      <c r="F473" t="s">
        <v>640</v>
      </c>
      <c r="G473">
        <v>3</v>
      </c>
      <c r="H473" s="1">
        <v>92</v>
      </c>
      <c r="I473" s="1">
        <v>53</v>
      </c>
      <c r="J473" s="2">
        <v>0</v>
      </c>
      <c r="K473" t="s">
        <v>645</v>
      </c>
      <c r="L473" t="s">
        <v>648</v>
      </c>
      <c r="M473" t="s">
        <v>665</v>
      </c>
    </row>
    <row r="474" spans="1:13" x14ac:dyDescent="0.3">
      <c r="A474" t="s">
        <v>478</v>
      </c>
      <c r="B474" s="4">
        <v>45969</v>
      </c>
      <c r="C474" t="s">
        <v>584</v>
      </c>
      <c r="D474" t="s">
        <v>605</v>
      </c>
      <c r="E474" t="s">
        <v>637</v>
      </c>
      <c r="F474" t="s">
        <v>641</v>
      </c>
      <c r="G474">
        <v>4</v>
      </c>
      <c r="H474" s="1">
        <v>175</v>
      </c>
      <c r="I474" s="1">
        <v>105</v>
      </c>
      <c r="J474" s="2">
        <v>0</v>
      </c>
      <c r="K474" t="s">
        <v>644</v>
      </c>
      <c r="L474" t="s">
        <v>648</v>
      </c>
      <c r="M474" t="s">
        <v>675</v>
      </c>
    </row>
    <row r="475" spans="1:13" x14ac:dyDescent="0.3">
      <c r="A475" t="s">
        <v>479</v>
      </c>
      <c r="B475" s="4">
        <v>45944</v>
      </c>
      <c r="C475" t="s">
        <v>596</v>
      </c>
      <c r="D475" t="s">
        <v>607</v>
      </c>
      <c r="E475" t="s">
        <v>631</v>
      </c>
      <c r="F475" t="s">
        <v>641</v>
      </c>
      <c r="G475">
        <v>5</v>
      </c>
      <c r="H475" s="1">
        <v>85</v>
      </c>
      <c r="I475" s="1">
        <v>44</v>
      </c>
      <c r="J475" s="2">
        <v>0</v>
      </c>
      <c r="K475" t="s">
        <v>644</v>
      </c>
      <c r="L475" t="s">
        <v>648</v>
      </c>
      <c r="M475" t="s">
        <v>684</v>
      </c>
    </row>
    <row r="476" spans="1:13" x14ac:dyDescent="0.3">
      <c r="A476" t="s">
        <v>480</v>
      </c>
      <c r="B476" s="4">
        <v>45690</v>
      </c>
      <c r="C476" t="s">
        <v>578</v>
      </c>
      <c r="D476" t="s">
        <v>623</v>
      </c>
      <c r="E476" t="s">
        <v>635</v>
      </c>
      <c r="F476" t="s">
        <v>639</v>
      </c>
      <c r="G476">
        <v>4</v>
      </c>
      <c r="H476" s="1">
        <v>65</v>
      </c>
      <c r="I476" s="1">
        <v>31</v>
      </c>
      <c r="J476" s="2">
        <v>0.05</v>
      </c>
      <c r="K476" t="s">
        <v>643</v>
      </c>
      <c r="L476" t="s">
        <v>648</v>
      </c>
      <c r="M476" t="s">
        <v>671</v>
      </c>
    </row>
    <row r="477" spans="1:13" x14ac:dyDescent="0.3">
      <c r="A477" t="s">
        <v>481</v>
      </c>
      <c r="B477" s="4">
        <v>45876</v>
      </c>
      <c r="C477" t="s">
        <v>575</v>
      </c>
      <c r="D477" t="s">
        <v>616</v>
      </c>
      <c r="E477" t="s">
        <v>628</v>
      </c>
      <c r="F477" t="s">
        <v>639</v>
      </c>
      <c r="G477">
        <v>2</v>
      </c>
      <c r="H477" s="1">
        <v>18</v>
      </c>
      <c r="I477" s="1">
        <v>7</v>
      </c>
      <c r="J477" s="2">
        <v>0</v>
      </c>
      <c r="K477" t="s">
        <v>646</v>
      </c>
      <c r="L477" t="s">
        <v>648</v>
      </c>
      <c r="M477" t="s">
        <v>668</v>
      </c>
    </row>
    <row r="478" spans="1:13" x14ac:dyDescent="0.3">
      <c r="A478" t="s">
        <v>482</v>
      </c>
      <c r="B478" s="4">
        <v>45999</v>
      </c>
      <c r="C478" t="s">
        <v>586</v>
      </c>
      <c r="D478" t="s">
        <v>620</v>
      </c>
      <c r="E478" t="s">
        <v>627</v>
      </c>
      <c r="F478" t="s">
        <v>639</v>
      </c>
      <c r="G478">
        <v>1</v>
      </c>
      <c r="H478" s="1">
        <v>38</v>
      </c>
      <c r="I478" s="1">
        <v>17</v>
      </c>
      <c r="J478" s="2">
        <v>0.2</v>
      </c>
      <c r="K478" t="s">
        <v>645</v>
      </c>
      <c r="L478" t="s">
        <v>651</v>
      </c>
      <c r="M478" t="s">
        <v>671</v>
      </c>
    </row>
    <row r="479" spans="1:13" x14ac:dyDescent="0.3">
      <c r="A479" t="s">
        <v>483</v>
      </c>
      <c r="B479" s="4">
        <v>46018</v>
      </c>
      <c r="C479" t="s">
        <v>577</v>
      </c>
      <c r="D479" t="s">
        <v>599</v>
      </c>
      <c r="E479" t="s">
        <v>632</v>
      </c>
      <c r="F479" t="s">
        <v>639</v>
      </c>
      <c r="G479">
        <v>4</v>
      </c>
      <c r="H479" s="1">
        <v>42</v>
      </c>
      <c r="I479" s="1">
        <v>21</v>
      </c>
      <c r="J479" s="2">
        <v>0.2</v>
      </c>
      <c r="L479" t="s">
        <v>648</v>
      </c>
      <c r="M479" t="s">
        <v>670</v>
      </c>
    </row>
    <row r="480" spans="1:13" x14ac:dyDescent="0.3">
      <c r="A480" t="s">
        <v>484</v>
      </c>
      <c r="B480" s="4">
        <v>45737</v>
      </c>
      <c r="C480" t="s">
        <v>573</v>
      </c>
      <c r="D480" t="s">
        <v>619</v>
      </c>
      <c r="E480" t="s">
        <v>631</v>
      </c>
      <c r="F480" t="s">
        <v>641</v>
      </c>
      <c r="G480">
        <v>5</v>
      </c>
      <c r="H480" s="1">
        <v>85</v>
      </c>
      <c r="I480" s="1">
        <v>44</v>
      </c>
      <c r="J480" s="2">
        <v>0.2</v>
      </c>
      <c r="K480" t="s">
        <v>645</v>
      </c>
      <c r="L480" t="s">
        <v>648</v>
      </c>
      <c r="M480" t="s">
        <v>667</v>
      </c>
    </row>
    <row r="481" spans="1:13" x14ac:dyDescent="0.3">
      <c r="A481" t="s">
        <v>485</v>
      </c>
      <c r="B481" s="4">
        <v>45783</v>
      </c>
      <c r="C481" t="s">
        <v>580</v>
      </c>
      <c r="D481" t="s">
        <v>617</v>
      </c>
      <c r="E481" t="s">
        <v>637</v>
      </c>
      <c r="F481" t="s">
        <v>641</v>
      </c>
      <c r="G481">
        <v>4</v>
      </c>
      <c r="H481" s="1">
        <v>175</v>
      </c>
      <c r="I481" s="1">
        <v>105</v>
      </c>
      <c r="J481" s="2">
        <v>0</v>
      </c>
      <c r="K481" t="s">
        <v>647</v>
      </c>
      <c r="L481" t="s">
        <v>651</v>
      </c>
      <c r="M481" t="s">
        <v>672</v>
      </c>
    </row>
    <row r="482" spans="1:13" x14ac:dyDescent="0.3">
      <c r="A482" t="s">
        <v>486</v>
      </c>
      <c r="B482" s="4">
        <v>45670</v>
      </c>
      <c r="C482" t="s">
        <v>573</v>
      </c>
      <c r="D482" t="s">
        <v>617</v>
      </c>
      <c r="E482" t="s">
        <v>637</v>
      </c>
      <c r="F482" t="s">
        <v>641</v>
      </c>
      <c r="G482">
        <v>2</v>
      </c>
      <c r="H482" s="1">
        <v>175</v>
      </c>
      <c r="I482" s="1">
        <v>105</v>
      </c>
      <c r="J482" s="2">
        <v>0.1</v>
      </c>
      <c r="K482" t="s">
        <v>644</v>
      </c>
      <c r="L482" t="s">
        <v>651</v>
      </c>
      <c r="M482" t="s">
        <v>680</v>
      </c>
    </row>
    <row r="483" spans="1:13" x14ac:dyDescent="0.3">
      <c r="A483" t="s">
        <v>487</v>
      </c>
      <c r="B483" s="4">
        <v>45747</v>
      </c>
      <c r="C483" t="s">
        <v>587</v>
      </c>
      <c r="D483" t="s">
        <v>606</v>
      </c>
      <c r="E483" t="s">
        <v>631</v>
      </c>
      <c r="F483" t="s">
        <v>641</v>
      </c>
      <c r="G483">
        <v>5</v>
      </c>
      <c r="H483" s="1">
        <v>85</v>
      </c>
      <c r="I483" s="1">
        <v>44</v>
      </c>
      <c r="J483" s="2">
        <v>0.1</v>
      </c>
      <c r="K483" t="s">
        <v>647</v>
      </c>
      <c r="L483" t="s">
        <v>650</v>
      </c>
      <c r="M483" t="s">
        <v>664</v>
      </c>
    </row>
    <row r="484" spans="1:13" x14ac:dyDescent="0.3">
      <c r="A484" t="s">
        <v>488</v>
      </c>
      <c r="B484" s="4">
        <v>45902</v>
      </c>
      <c r="C484" t="s">
        <v>584</v>
      </c>
      <c r="D484" t="s">
        <v>606</v>
      </c>
      <c r="E484" t="s">
        <v>631</v>
      </c>
      <c r="F484" t="s">
        <v>641</v>
      </c>
      <c r="G484">
        <v>5</v>
      </c>
      <c r="H484" s="1">
        <v>85</v>
      </c>
      <c r="I484" s="1">
        <v>44</v>
      </c>
      <c r="J484" s="2">
        <v>0.05</v>
      </c>
      <c r="K484" t="s">
        <v>646</v>
      </c>
      <c r="L484" t="s">
        <v>648</v>
      </c>
      <c r="M484" t="s">
        <v>675</v>
      </c>
    </row>
    <row r="485" spans="1:13" x14ac:dyDescent="0.3">
      <c r="A485" t="s">
        <v>489</v>
      </c>
      <c r="B485" s="4">
        <v>45825</v>
      </c>
      <c r="C485" t="s">
        <v>567</v>
      </c>
      <c r="D485" t="s">
        <v>600</v>
      </c>
      <c r="E485" t="s">
        <v>637</v>
      </c>
      <c r="F485" t="s">
        <v>641</v>
      </c>
      <c r="G485">
        <v>3</v>
      </c>
      <c r="H485" s="1">
        <v>175</v>
      </c>
      <c r="I485" s="1">
        <v>105</v>
      </c>
      <c r="J485" s="2">
        <v>0.05</v>
      </c>
      <c r="K485" t="s">
        <v>643</v>
      </c>
      <c r="L485" t="s">
        <v>648</v>
      </c>
      <c r="M485" t="s">
        <v>660</v>
      </c>
    </row>
    <row r="486" spans="1:13" x14ac:dyDescent="0.3">
      <c r="A486" t="s">
        <v>490</v>
      </c>
      <c r="B486" s="4">
        <v>45753</v>
      </c>
      <c r="C486" t="s">
        <v>576</v>
      </c>
      <c r="D486" t="s">
        <v>611</v>
      </c>
      <c r="E486" t="s">
        <v>634</v>
      </c>
      <c r="F486" t="s">
        <v>641</v>
      </c>
      <c r="G486">
        <v>3</v>
      </c>
      <c r="H486" s="1">
        <v>59</v>
      </c>
      <c r="I486" s="1">
        <v>30</v>
      </c>
      <c r="J486" s="2">
        <v>0.2</v>
      </c>
      <c r="K486" t="s">
        <v>643</v>
      </c>
      <c r="L486" t="s">
        <v>653</v>
      </c>
      <c r="M486" t="s">
        <v>669</v>
      </c>
    </row>
    <row r="487" spans="1:13" x14ac:dyDescent="0.3">
      <c r="A487" t="s">
        <v>491</v>
      </c>
      <c r="B487" s="4">
        <v>45763</v>
      </c>
      <c r="C487" t="s">
        <v>576</v>
      </c>
      <c r="D487" t="s">
        <v>618</v>
      </c>
      <c r="E487" t="s">
        <v>636</v>
      </c>
      <c r="F487" t="s">
        <v>641</v>
      </c>
      <c r="G487">
        <v>1</v>
      </c>
      <c r="H487" s="1">
        <v>245</v>
      </c>
      <c r="I487" s="1">
        <v>150</v>
      </c>
      <c r="J487" s="2">
        <v>0</v>
      </c>
      <c r="K487" t="s">
        <v>647</v>
      </c>
      <c r="L487" t="s">
        <v>650</v>
      </c>
      <c r="M487" t="s">
        <v>669</v>
      </c>
    </row>
    <row r="488" spans="1:13" x14ac:dyDescent="0.3">
      <c r="A488" t="s">
        <v>492</v>
      </c>
      <c r="B488" s="4">
        <v>45681</v>
      </c>
      <c r="C488" t="s">
        <v>579</v>
      </c>
      <c r="D488" t="s">
        <v>619</v>
      </c>
      <c r="E488" t="s">
        <v>634</v>
      </c>
      <c r="F488" t="s">
        <v>641</v>
      </c>
      <c r="G488">
        <v>2</v>
      </c>
      <c r="H488" s="1">
        <v>59</v>
      </c>
      <c r="I488" s="1">
        <v>30</v>
      </c>
      <c r="J488" s="2">
        <v>0.05</v>
      </c>
      <c r="K488" t="s">
        <v>642</v>
      </c>
      <c r="L488" t="s">
        <v>648</v>
      </c>
      <c r="M488" t="s">
        <v>665</v>
      </c>
    </row>
    <row r="489" spans="1:13" x14ac:dyDescent="0.3">
      <c r="A489" t="s">
        <v>493</v>
      </c>
      <c r="B489" s="4">
        <v>46012</v>
      </c>
      <c r="C489" t="s">
        <v>575</v>
      </c>
      <c r="D489" t="s">
        <v>617</v>
      </c>
      <c r="E489" t="s">
        <v>627</v>
      </c>
      <c r="F489" t="s">
        <v>639</v>
      </c>
      <c r="G489">
        <v>5</v>
      </c>
      <c r="H489" s="1">
        <v>38</v>
      </c>
      <c r="I489" s="1">
        <v>17</v>
      </c>
      <c r="J489" s="2">
        <v>0.05</v>
      </c>
      <c r="K489" t="s">
        <v>644</v>
      </c>
      <c r="L489" t="s">
        <v>651</v>
      </c>
      <c r="M489" t="s">
        <v>668</v>
      </c>
    </row>
    <row r="490" spans="1:13" x14ac:dyDescent="0.3">
      <c r="A490" t="s">
        <v>494</v>
      </c>
      <c r="B490" s="4">
        <v>45959</v>
      </c>
      <c r="C490" t="s">
        <v>570</v>
      </c>
      <c r="D490" t="s">
        <v>601</v>
      </c>
      <c r="E490" t="s">
        <v>636</v>
      </c>
      <c r="F490" t="s">
        <v>641</v>
      </c>
      <c r="G490">
        <v>3</v>
      </c>
      <c r="H490" s="1">
        <v>245</v>
      </c>
      <c r="I490" s="1">
        <v>150</v>
      </c>
      <c r="J490" s="2">
        <v>0</v>
      </c>
      <c r="K490" t="s">
        <v>646</v>
      </c>
      <c r="L490" t="s">
        <v>648</v>
      </c>
      <c r="M490" t="s">
        <v>663</v>
      </c>
    </row>
    <row r="491" spans="1:13" x14ac:dyDescent="0.3">
      <c r="A491" t="s">
        <v>495</v>
      </c>
      <c r="B491" s="4">
        <v>45976</v>
      </c>
      <c r="C491" t="s">
        <v>572</v>
      </c>
      <c r="D491" t="s">
        <v>610</v>
      </c>
      <c r="E491" t="s">
        <v>629</v>
      </c>
      <c r="F491" t="s">
        <v>640</v>
      </c>
      <c r="G491">
        <v>1</v>
      </c>
      <c r="H491" s="1">
        <v>92</v>
      </c>
      <c r="I491" s="1">
        <v>53</v>
      </c>
      <c r="J491" s="2">
        <v>0.05</v>
      </c>
      <c r="K491" t="s">
        <v>642</v>
      </c>
      <c r="L491" t="s">
        <v>649</v>
      </c>
      <c r="M491" t="s">
        <v>665</v>
      </c>
    </row>
    <row r="492" spans="1:13" x14ac:dyDescent="0.3">
      <c r="A492" t="s">
        <v>496</v>
      </c>
      <c r="B492" s="4">
        <v>45880</v>
      </c>
      <c r="C492" t="s">
        <v>566</v>
      </c>
      <c r="D492" t="s">
        <v>620</v>
      </c>
      <c r="E492" t="s">
        <v>634</v>
      </c>
      <c r="F492" t="s">
        <v>641</v>
      </c>
      <c r="G492">
        <v>1</v>
      </c>
      <c r="H492" s="1">
        <v>59</v>
      </c>
      <c r="I492" s="1">
        <v>30</v>
      </c>
      <c r="J492" s="2">
        <v>0</v>
      </c>
      <c r="K492" t="s">
        <v>644</v>
      </c>
      <c r="L492" t="s">
        <v>649</v>
      </c>
      <c r="M492" t="s">
        <v>659</v>
      </c>
    </row>
    <row r="493" spans="1:13" x14ac:dyDescent="0.3">
      <c r="A493" t="s">
        <v>497</v>
      </c>
      <c r="B493" s="4">
        <v>45734</v>
      </c>
      <c r="C493" t="s">
        <v>566</v>
      </c>
      <c r="D493" t="s">
        <v>619</v>
      </c>
      <c r="E493" t="s">
        <v>636</v>
      </c>
      <c r="F493" t="s">
        <v>641</v>
      </c>
      <c r="G493">
        <v>2</v>
      </c>
      <c r="H493" s="1">
        <v>245</v>
      </c>
      <c r="I493" s="1">
        <v>150</v>
      </c>
      <c r="J493" s="2">
        <v>0.05</v>
      </c>
      <c r="K493" t="s">
        <v>644</v>
      </c>
      <c r="L493" t="s">
        <v>651</v>
      </c>
      <c r="M493" t="s">
        <v>659</v>
      </c>
    </row>
    <row r="494" spans="1:13" x14ac:dyDescent="0.3">
      <c r="A494" t="s">
        <v>498</v>
      </c>
      <c r="B494" s="4">
        <v>45866</v>
      </c>
      <c r="C494" t="s">
        <v>580</v>
      </c>
      <c r="D494" t="s">
        <v>599</v>
      </c>
      <c r="E494" t="s">
        <v>630</v>
      </c>
      <c r="F494" t="s">
        <v>640</v>
      </c>
      <c r="G494">
        <v>3</v>
      </c>
      <c r="H494" s="1">
        <v>78</v>
      </c>
      <c r="I494" s="1">
        <v>45</v>
      </c>
      <c r="J494" s="2">
        <v>0.15</v>
      </c>
      <c r="K494" t="s">
        <v>647</v>
      </c>
      <c r="L494" t="s">
        <v>649</v>
      </c>
      <c r="M494" t="s">
        <v>672</v>
      </c>
    </row>
    <row r="495" spans="1:13" x14ac:dyDescent="0.3">
      <c r="A495" t="s">
        <v>499</v>
      </c>
      <c r="B495" s="4">
        <v>46002</v>
      </c>
      <c r="C495" t="s">
        <v>583</v>
      </c>
      <c r="D495" t="s">
        <v>615</v>
      </c>
      <c r="E495" t="s">
        <v>629</v>
      </c>
      <c r="F495" t="s">
        <v>640</v>
      </c>
      <c r="G495">
        <v>2</v>
      </c>
      <c r="H495" s="1">
        <v>92</v>
      </c>
      <c r="I495" s="1">
        <v>53</v>
      </c>
      <c r="J495" s="2">
        <v>0</v>
      </c>
      <c r="K495" t="s">
        <v>643</v>
      </c>
      <c r="L495" t="s">
        <v>649</v>
      </c>
      <c r="M495" t="s">
        <v>673</v>
      </c>
    </row>
    <row r="496" spans="1:13" x14ac:dyDescent="0.3">
      <c r="A496" t="s">
        <v>500</v>
      </c>
      <c r="B496" s="4">
        <v>45816</v>
      </c>
      <c r="C496" t="s">
        <v>597</v>
      </c>
      <c r="D496" t="s">
        <v>606</v>
      </c>
      <c r="E496" t="s">
        <v>637</v>
      </c>
      <c r="F496" t="s">
        <v>641</v>
      </c>
      <c r="G496">
        <v>2</v>
      </c>
      <c r="H496" s="1">
        <v>175</v>
      </c>
      <c r="I496" s="1">
        <v>105</v>
      </c>
      <c r="J496" s="2">
        <v>0.05</v>
      </c>
      <c r="K496" t="s">
        <v>646</v>
      </c>
      <c r="L496" t="s">
        <v>648</v>
      </c>
      <c r="M496" t="s">
        <v>673</v>
      </c>
    </row>
    <row r="497" spans="1:13" x14ac:dyDescent="0.3">
      <c r="A497" t="s">
        <v>501</v>
      </c>
      <c r="B497" s="4">
        <v>45812</v>
      </c>
      <c r="C497" t="s">
        <v>584</v>
      </c>
      <c r="D497" t="s">
        <v>619</v>
      </c>
      <c r="E497" t="s">
        <v>636</v>
      </c>
      <c r="F497" t="s">
        <v>641</v>
      </c>
      <c r="G497">
        <v>3</v>
      </c>
      <c r="H497" s="1">
        <v>245</v>
      </c>
      <c r="I497" s="1">
        <v>150</v>
      </c>
      <c r="J497" s="2">
        <v>0.05</v>
      </c>
      <c r="K497" t="s">
        <v>642</v>
      </c>
      <c r="L497" t="s">
        <v>649</v>
      </c>
      <c r="M497" t="s">
        <v>675</v>
      </c>
    </row>
    <row r="498" spans="1:13" x14ac:dyDescent="0.3">
      <c r="A498" t="s">
        <v>502</v>
      </c>
      <c r="B498" s="4">
        <v>45896</v>
      </c>
      <c r="C498" t="s">
        <v>564</v>
      </c>
      <c r="D498" t="s">
        <v>621</v>
      </c>
      <c r="E498" t="s">
        <v>637</v>
      </c>
      <c r="F498" t="s">
        <v>641</v>
      </c>
      <c r="G498">
        <v>3</v>
      </c>
      <c r="H498" s="1">
        <v>175</v>
      </c>
      <c r="I498" s="1">
        <v>105</v>
      </c>
      <c r="J498" s="2">
        <v>0.05</v>
      </c>
      <c r="K498" t="s">
        <v>645</v>
      </c>
      <c r="L498" t="s">
        <v>650</v>
      </c>
      <c r="M498" t="s">
        <v>657</v>
      </c>
    </row>
    <row r="499" spans="1:13" x14ac:dyDescent="0.3">
      <c r="A499" t="s">
        <v>503</v>
      </c>
      <c r="B499" s="4">
        <v>45755</v>
      </c>
      <c r="C499" t="s">
        <v>580</v>
      </c>
      <c r="D499" t="s">
        <v>615</v>
      </c>
      <c r="E499" t="s">
        <v>628</v>
      </c>
      <c r="F499" t="s">
        <v>639</v>
      </c>
      <c r="G499">
        <v>5</v>
      </c>
      <c r="H499" s="1">
        <v>18</v>
      </c>
      <c r="I499" s="1">
        <v>7</v>
      </c>
      <c r="J499" s="2">
        <v>0.1</v>
      </c>
      <c r="K499" t="s">
        <v>645</v>
      </c>
      <c r="L499" t="s">
        <v>648</v>
      </c>
      <c r="M499" t="s">
        <v>672</v>
      </c>
    </row>
    <row r="500" spans="1:13" x14ac:dyDescent="0.3">
      <c r="A500" t="s">
        <v>504</v>
      </c>
      <c r="B500" s="4">
        <v>45715</v>
      </c>
      <c r="C500" t="s">
        <v>573</v>
      </c>
      <c r="D500" t="s">
        <v>614</v>
      </c>
      <c r="E500" t="s">
        <v>633</v>
      </c>
      <c r="F500" t="s">
        <v>638</v>
      </c>
      <c r="G500">
        <v>3</v>
      </c>
      <c r="H500" s="1">
        <v>210</v>
      </c>
      <c r="I500" s="1">
        <v>125</v>
      </c>
      <c r="J500" s="2">
        <v>0</v>
      </c>
      <c r="K500" t="s">
        <v>642</v>
      </c>
      <c r="L500" t="s">
        <v>651</v>
      </c>
      <c r="M500" t="s">
        <v>667</v>
      </c>
    </row>
    <row r="501" spans="1:13" x14ac:dyDescent="0.3">
      <c r="A501" t="s">
        <v>505</v>
      </c>
      <c r="B501" s="4">
        <v>45978</v>
      </c>
      <c r="C501" t="s">
        <v>564</v>
      </c>
      <c r="D501" t="s">
        <v>616</v>
      </c>
      <c r="E501" t="s">
        <v>637</v>
      </c>
      <c r="F501" t="s">
        <v>641</v>
      </c>
      <c r="G501">
        <v>4</v>
      </c>
      <c r="H501" s="1">
        <v>175</v>
      </c>
      <c r="I501" s="1">
        <v>105</v>
      </c>
      <c r="J501" s="2">
        <v>0</v>
      </c>
      <c r="K501" t="s">
        <v>647</v>
      </c>
      <c r="L501" t="s">
        <v>650</v>
      </c>
      <c r="M501" t="s">
        <v>657</v>
      </c>
    </row>
    <row r="502" spans="1:13" x14ac:dyDescent="0.3">
      <c r="A502" t="s">
        <v>506</v>
      </c>
      <c r="B502" s="4">
        <v>45857</v>
      </c>
      <c r="C502" t="s">
        <v>568</v>
      </c>
      <c r="D502" t="s">
        <v>602</v>
      </c>
      <c r="E502" t="s">
        <v>626</v>
      </c>
      <c r="F502" t="s">
        <v>638</v>
      </c>
      <c r="G502">
        <v>5</v>
      </c>
      <c r="H502" s="1">
        <v>36</v>
      </c>
      <c r="I502" s="1">
        <v>16</v>
      </c>
      <c r="J502" s="2">
        <v>0.1</v>
      </c>
      <c r="K502" t="s">
        <v>644</v>
      </c>
      <c r="L502" t="s">
        <v>648</v>
      </c>
      <c r="M502" t="s">
        <v>666</v>
      </c>
    </row>
    <row r="503" spans="1:13" x14ac:dyDescent="0.3">
      <c r="A503" t="s">
        <v>507</v>
      </c>
      <c r="B503" s="4">
        <v>45768</v>
      </c>
      <c r="C503" t="s">
        <v>573</v>
      </c>
      <c r="D503" t="s">
        <v>625</v>
      </c>
      <c r="E503" t="s">
        <v>631</v>
      </c>
      <c r="F503" t="s">
        <v>641</v>
      </c>
      <c r="G503">
        <v>4</v>
      </c>
      <c r="H503" s="1">
        <v>85</v>
      </c>
      <c r="I503" s="1">
        <v>44</v>
      </c>
      <c r="J503" s="2">
        <v>0.15</v>
      </c>
      <c r="K503" t="s">
        <v>647</v>
      </c>
      <c r="L503" t="s">
        <v>649</v>
      </c>
      <c r="M503" t="s">
        <v>667</v>
      </c>
    </row>
    <row r="504" spans="1:13" x14ac:dyDescent="0.3">
      <c r="A504" t="s">
        <v>508</v>
      </c>
      <c r="B504" s="4">
        <v>45701</v>
      </c>
      <c r="C504" t="s">
        <v>573</v>
      </c>
      <c r="D504" t="s">
        <v>621</v>
      </c>
      <c r="E504" t="s">
        <v>628</v>
      </c>
      <c r="F504" t="s">
        <v>639</v>
      </c>
      <c r="G504">
        <v>3</v>
      </c>
      <c r="H504" s="1">
        <v>18</v>
      </c>
      <c r="I504" s="1">
        <v>7</v>
      </c>
      <c r="J504" s="2">
        <v>0</v>
      </c>
      <c r="K504" t="s">
        <v>643</v>
      </c>
      <c r="L504" t="s">
        <v>650</v>
      </c>
      <c r="M504" t="s">
        <v>667</v>
      </c>
    </row>
    <row r="505" spans="1:13" x14ac:dyDescent="0.3">
      <c r="A505" t="s">
        <v>509</v>
      </c>
      <c r="B505" s="4">
        <v>45829</v>
      </c>
      <c r="C505" t="s">
        <v>571</v>
      </c>
      <c r="D505" t="s">
        <v>600</v>
      </c>
      <c r="E505" t="s">
        <v>634</v>
      </c>
      <c r="F505" t="s">
        <v>641</v>
      </c>
      <c r="G505">
        <v>5</v>
      </c>
      <c r="H505" s="1">
        <v>59</v>
      </c>
      <c r="I505" s="1">
        <v>30</v>
      </c>
      <c r="J505" s="2">
        <v>0</v>
      </c>
      <c r="K505" t="s">
        <v>644</v>
      </c>
      <c r="L505" t="s">
        <v>649</v>
      </c>
      <c r="M505" t="s">
        <v>664</v>
      </c>
    </row>
    <row r="506" spans="1:13" x14ac:dyDescent="0.3">
      <c r="A506" t="s">
        <v>510</v>
      </c>
      <c r="B506" s="4">
        <v>45982</v>
      </c>
      <c r="C506" t="s">
        <v>580</v>
      </c>
      <c r="D506" t="s">
        <v>607</v>
      </c>
      <c r="E506" t="s">
        <v>628</v>
      </c>
      <c r="F506" t="s">
        <v>639</v>
      </c>
      <c r="G506">
        <v>5</v>
      </c>
      <c r="H506" s="1">
        <v>18</v>
      </c>
      <c r="I506" s="1">
        <v>7</v>
      </c>
      <c r="J506" s="2">
        <v>0</v>
      </c>
      <c r="K506" t="s">
        <v>647</v>
      </c>
      <c r="L506" t="s">
        <v>648</v>
      </c>
      <c r="M506" t="s">
        <v>672</v>
      </c>
    </row>
    <row r="507" spans="1:13" x14ac:dyDescent="0.3">
      <c r="A507" t="s">
        <v>511</v>
      </c>
      <c r="B507" s="4">
        <v>45913</v>
      </c>
      <c r="C507" t="s">
        <v>573</v>
      </c>
      <c r="D507" t="s">
        <v>619</v>
      </c>
      <c r="E507" t="s">
        <v>631</v>
      </c>
      <c r="F507" t="s">
        <v>641</v>
      </c>
      <c r="G507">
        <v>1</v>
      </c>
      <c r="H507" s="1">
        <v>85</v>
      </c>
      <c r="I507" s="1">
        <v>44</v>
      </c>
      <c r="J507" s="2">
        <v>0.1</v>
      </c>
      <c r="K507" t="s">
        <v>646</v>
      </c>
      <c r="L507" t="s">
        <v>648</v>
      </c>
      <c r="M507" t="s">
        <v>667</v>
      </c>
    </row>
    <row r="508" spans="1:13" x14ac:dyDescent="0.3">
      <c r="A508" t="s">
        <v>512</v>
      </c>
      <c r="B508" s="4">
        <v>45683</v>
      </c>
      <c r="C508" t="s">
        <v>568</v>
      </c>
      <c r="D508" t="s">
        <v>613</v>
      </c>
      <c r="E508" t="s">
        <v>629</v>
      </c>
      <c r="F508" t="s">
        <v>640</v>
      </c>
      <c r="G508">
        <v>5</v>
      </c>
      <c r="H508" s="1">
        <v>92</v>
      </c>
      <c r="I508" s="1">
        <v>53</v>
      </c>
      <c r="J508" s="2">
        <v>0</v>
      </c>
      <c r="K508" t="s">
        <v>642</v>
      </c>
      <c r="L508" t="s">
        <v>648</v>
      </c>
      <c r="M508" t="s">
        <v>666</v>
      </c>
    </row>
    <row r="509" spans="1:13" x14ac:dyDescent="0.3">
      <c r="A509" t="s">
        <v>513</v>
      </c>
      <c r="B509" s="4">
        <v>45715</v>
      </c>
      <c r="C509" t="s">
        <v>575</v>
      </c>
      <c r="D509" t="s">
        <v>617</v>
      </c>
      <c r="E509" t="s">
        <v>627</v>
      </c>
      <c r="F509" t="s">
        <v>639</v>
      </c>
      <c r="G509">
        <v>5</v>
      </c>
      <c r="H509" s="1">
        <v>38</v>
      </c>
      <c r="I509" s="1">
        <v>17</v>
      </c>
      <c r="J509" s="2">
        <v>0</v>
      </c>
      <c r="K509" t="s">
        <v>647</v>
      </c>
      <c r="L509" t="s">
        <v>648</v>
      </c>
      <c r="M509" t="s">
        <v>668</v>
      </c>
    </row>
    <row r="510" spans="1:13" x14ac:dyDescent="0.3">
      <c r="A510" t="s">
        <v>514</v>
      </c>
      <c r="B510" s="4">
        <v>45776</v>
      </c>
      <c r="C510" t="s">
        <v>584</v>
      </c>
      <c r="D510" t="s">
        <v>622</v>
      </c>
      <c r="E510" t="s">
        <v>630</v>
      </c>
      <c r="F510" t="s">
        <v>640</v>
      </c>
      <c r="G510">
        <v>4</v>
      </c>
      <c r="H510" s="1">
        <v>78</v>
      </c>
      <c r="I510" s="1">
        <v>45</v>
      </c>
      <c r="J510" s="2">
        <v>0</v>
      </c>
      <c r="K510" t="s">
        <v>643</v>
      </c>
      <c r="L510" t="s">
        <v>651</v>
      </c>
      <c r="M510" t="s">
        <v>675</v>
      </c>
    </row>
    <row r="511" spans="1:13" x14ac:dyDescent="0.3">
      <c r="A511" t="s">
        <v>515</v>
      </c>
      <c r="B511" s="4">
        <v>45678</v>
      </c>
      <c r="C511" t="s">
        <v>584</v>
      </c>
      <c r="D511" t="s">
        <v>621</v>
      </c>
      <c r="E511" t="s">
        <v>627</v>
      </c>
      <c r="F511" t="s">
        <v>639</v>
      </c>
      <c r="G511">
        <v>3</v>
      </c>
      <c r="H511" s="1">
        <v>38</v>
      </c>
      <c r="I511" s="1">
        <v>17</v>
      </c>
      <c r="J511" s="2">
        <v>0.1</v>
      </c>
      <c r="K511" t="s">
        <v>643</v>
      </c>
      <c r="L511" t="s">
        <v>648</v>
      </c>
      <c r="M511" t="s">
        <v>675</v>
      </c>
    </row>
    <row r="512" spans="1:13" x14ac:dyDescent="0.3">
      <c r="A512" t="s">
        <v>516</v>
      </c>
      <c r="B512" s="4">
        <v>45839</v>
      </c>
      <c r="C512" t="s">
        <v>582</v>
      </c>
      <c r="D512" t="s">
        <v>610</v>
      </c>
      <c r="E512" t="s">
        <v>637</v>
      </c>
      <c r="F512" t="s">
        <v>641</v>
      </c>
      <c r="G512">
        <v>5</v>
      </c>
      <c r="H512" s="1">
        <v>175</v>
      </c>
      <c r="I512" s="1">
        <v>105</v>
      </c>
      <c r="J512" s="2">
        <v>0.05</v>
      </c>
      <c r="K512" t="s">
        <v>643</v>
      </c>
      <c r="L512" t="s">
        <v>648</v>
      </c>
      <c r="M512" t="s">
        <v>658</v>
      </c>
    </row>
    <row r="513" spans="1:13" x14ac:dyDescent="0.3">
      <c r="A513" t="s">
        <v>517</v>
      </c>
      <c r="B513" s="4">
        <v>45924</v>
      </c>
      <c r="C513" t="s">
        <v>582</v>
      </c>
      <c r="D513" t="s">
        <v>608</v>
      </c>
      <c r="E513" t="s">
        <v>631</v>
      </c>
      <c r="F513" t="s">
        <v>641</v>
      </c>
      <c r="G513">
        <v>3</v>
      </c>
      <c r="H513" s="1">
        <v>85</v>
      </c>
      <c r="I513" s="1">
        <v>44</v>
      </c>
      <c r="J513" s="2">
        <v>0.1</v>
      </c>
      <c r="K513" t="s">
        <v>645</v>
      </c>
      <c r="L513" t="s">
        <v>649</v>
      </c>
      <c r="M513" t="s">
        <v>658</v>
      </c>
    </row>
    <row r="514" spans="1:13" x14ac:dyDescent="0.3">
      <c r="A514" t="s">
        <v>518</v>
      </c>
      <c r="B514" s="4">
        <v>45760</v>
      </c>
      <c r="C514" t="s">
        <v>564</v>
      </c>
      <c r="D514" t="s">
        <v>600</v>
      </c>
      <c r="E514" t="s">
        <v>637</v>
      </c>
      <c r="F514" t="s">
        <v>641</v>
      </c>
      <c r="G514">
        <v>5</v>
      </c>
      <c r="H514" s="1">
        <v>175</v>
      </c>
      <c r="I514" s="1">
        <v>105</v>
      </c>
      <c r="J514" s="2">
        <v>0</v>
      </c>
      <c r="K514" t="s">
        <v>645</v>
      </c>
      <c r="L514" t="s">
        <v>648</v>
      </c>
      <c r="M514" t="s">
        <v>657</v>
      </c>
    </row>
    <row r="515" spans="1:13" x14ac:dyDescent="0.3">
      <c r="A515" t="s">
        <v>519</v>
      </c>
      <c r="B515" s="4">
        <v>45667</v>
      </c>
      <c r="C515" t="s">
        <v>584</v>
      </c>
      <c r="D515" t="s">
        <v>618</v>
      </c>
      <c r="E515" t="s">
        <v>632</v>
      </c>
      <c r="F515" t="s">
        <v>639</v>
      </c>
      <c r="G515">
        <v>1</v>
      </c>
      <c r="H515" s="1">
        <v>42</v>
      </c>
      <c r="I515" s="1">
        <v>21</v>
      </c>
      <c r="J515" s="2">
        <v>0</v>
      </c>
      <c r="K515" t="s">
        <v>646</v>
      </c>
      <c r="L515" t="s">
        <v>648</v>
      </c>
      <c r="M515" t="s">
        <v>675</v>
      </c>
    </row>
    <row r="516" spans="1:13" x14ac:dyDescent="0.3">
      <c r="A516" t="s">
        <v>520</v>
      </c>
      <c r="B516" s="4">
        <v>45871</v>
      </c>
      <c r="C516" t="s">
        <v>580</v>
      </c>
      <c r="D516" t="s">
        <v>620</v>
      </c>
      <c r="E516" t="s">
        <v>628</v>
      </c>
      <c r="F516" t="s">
        <v>639</v>
      </c>
      <c r="G516">
        <v>4</v>
      </c>
      <c r="H516" s="1">
        <v>18</v>
      </c>
      <c r="I516" s="1">
        <v>7</v>
      </c>
      <c r="J516" s="2">
        <v>0</v>
      </c>
      <c r="K516" t="s">
        <v>645</v>
      </c>
      <c r="L516" t="s">
        <v>649</v>
      </c>
      <c r="M516" t="s">
        <v>672</v>
      </c>
    </row>
    <row r="517" spans="1:13" x14ac:dyDescent="0.3">
      <c r="A517" t="s">
        <v>521</v>
      </c>
      <c r="B517" s="4">
        <v>45820</v>
      </c>
      <c r="C517" t="s">
        <v>582</v>
      </c>
      <c r="D517" t="s">
        <v>622</v>
      </c>
      <c r="E517" t="s">
        <v>627</v>
      </c>
      <c r="F517" t="s">
        <v>639</v>
      </c>
      <c r="G517">
        <v>5</v>
      </c>
      <c r="H517" s="1">
        <v>38</v>
      </c>
      <c r="I517" s="1">
        <v>17</v>
      </c>
      <c r="J517" s="2">
        <v>0.1</v>
      </c>
      <c r="K517" t="s">
        <v>645</v>
      </c>
      <c r="L517" t="s">
        <v>650</v>
      </c>
      <c r="M517" t="s">
        <v>658</v>
      </c>
    </row>
    <row r="518" spans="1:13" x14ac:dyDescent="0.3">
      <c r="A518" t="s">
        <v>522</v>
      </c>
      <c r="B518" s="4">
        <v>45761</v>
      </c>
      <c r="C518" t="s">
        <v>577</v>
      </c>
      <c r="D518" t="s">
        <v>611</v>
      </c>
      <c r="E518" t="s">
        <v>628</v>
      </c>
      <c r="F518" t="s">
        <v>639</v>
      </c>
      <c r="G518">
        <v>1</v>
      </c>
      <c r="H518" s="1">
        <v>18</v>
      </c>
      <c r="I518" s="1">
        <v>7</v>
      </c>
      <c r="J518" s="2">
        <v>0.15</v>
      </c>
      <c r="K518" t="s">
        <v>645</v>
      </c>
      <c r="L518" t="s">
        <v>648</v>
      </c>
      <c r="M518" t="s">
        <v>670</v>
      </c>
    </row>
    <row r="519" spans="1:13" x14ac:dyDescent="0.3">
      <c r="A519" t="s">
        <v>523</v>
      </c>
      <c r="B519" s="4">
        <v>45826</v>
      </c>
      <c r="C519" t="s">
        <v>571</v>
      </c>
      <c r="D519" t="s">
        <v>599</v>
      </c>
      <c r="E519" t="s">
        <v>637</v>
      </c>
      <c r="F519" t="s">
        <v>641</v>
      </c>
      <c r="G519">
        <v>5</v>
      </c>
      <c r="H519" s="1">
        <v>175</v>
      </c>
      <c r="I519" s="1">
        <v>105</v>
      </c>
      <c r="J519" s="2">
        <v>0</v>
      </c>
      <c r="K519" t="s">
        <v>646</v>
      </c>
      <c r="L519" t="s">
        <v>649</v>
      </c>
      <c r="M519" t="s">
        <v>664</v>
      </c>
    </row>
    <row r="520" spans="1:13" x14ac:dyDescent="0.3">
      <c r="A520" t="s">
        <v>524</v>
      </c>
      <c r="B520" s="4">
        <v>45971</v>
      </c>
      <c r="C520" t="s">
        <v>569</v>
      </c>
      <c r="D520" t="s">
        <v>619</v>
      </c>
      <c r="E520" t="s">
        <v>636</v>
      </c>
      <c r="F520" t="s">
        <v>641</v>
      </c>
      <c r="G520">
        <v>1</v>
      </c>
      <c r="H520" s="1">
        <v>245</v>
      </c>
      <c r="I520" s="1">
        <v>150</v>
      </c>
      <c r="J520" s="2">
        <v>0.1</v>
      </c>
      <c r="K520" t="s">
        <v>647</v>
      </c>
      <c r="L520" t="s">
        <v>649</v>
      </c>
      <c r="M520" t="s">
        <v>662</v>
      </c>
    </row>
    <row r="521" spans="1:13" x14ac:dyDescent="0.3">
      <c r="A521" t="s">
        <v>525</v>
      </c>
      <c r="B521" s="4">
        <v>45939</v>
      </c>
      <c r="C521" t="s">
        <v>563</v>
      </c>
      <c r="D521" t="s">
        <v>614</v>
      </c>
      <c r="E521" t="s">
        <v>628</v>
      </c>
      <c r="F521" t="s">
        <v>639</v>
      </c>
      <c r="G521">
        <v>3</v>
      </c>
      <c r="H521" s="1">
        <v>18</v>
      </c>
      <c r="I521" s="1">
        <v>7</v>
      </c>
      <c r="J521" s="2">
        <v>0</v>
      </c>
      <c r="K521" t="s">
        <v>645</v>
      </c>
      <c r="L521" t="s">
        <v>648</v>
      </c>
      <c r="M521" t="s">
        <v>656</v>
      </c>
    </row>
    <row r="522" spans="1:13" x14ac:dyDescent="0.3">
      <c r="A522" t="s">
        <v>526</v>
      </c>
      <c r="B522" s="4">
        <v>46019</v>
      </c>
      <c r="C522" t="s">
        <v>564</v>
      </c>
      <c r="D522" t="s">
        <v>623</v>
      </c>
      <c r="E522" t="s">
        <v>635</v>
      </c>
      <c r="F522" t="s">
        <v>639</v>
      </c>
      <c r="G522">
        <v>5</v>
      </c>
      <c r="H522" s="1">
        <v>65</v>
      </c>
      <c r="I522" s="1">
        <v>31</v>
      </c>
      <c r="J522" s="2">
        <v>0.05</v>
      </c>
      <c r="K522" t="s">
        <v>647</v>
      </c>
      <c r="L522" t="s">
        <v>648</v>
      </c>
      <c r="M522" t="s">
        <v>657</v>
      </c>
    </row>
    <row r="523" spans="1:13" x14ac:dyDescent="0.3">
      <c r="A523" t="s">
        <v>527</v>
      </c>
      <c r="B523" s="4">
        <v>45661</v>
      </c>
      <c r="C523" t="s">
        <v>578</v>
      </c>
      <c r="D523" t="s">
        <v>607</v>
      </c>
      <c r="E523" t="s">
        <v>632</v>
      </c>
      <c r="F523" t="s">
        <v>639</v>
      </c>
      <c r="G523">
        <v>3</v>
      </c>
      <c r="H523" s="1">
        <v>42</v>
      </c>
      <c r="I523" s="1">
        <v>21</v>
      </c>
      <c r="J523" s="2">
        <v>0</v>
      </c>
      <c r="K523" t="s">
        <v>642</v>
      </c>
      <c r="L523" t="s">
        <v>650</v>
      </c>
      <c r="M523" t="s">
        <v>671</v>
      </c>
    </row>
    <row r="524" spans="1:13" x14ac:dyDescent="0.3">
      <c r="A524" t="s">
        <v>528</v>
      </c>
      <c r="B524" s="4">
        <v>45694</v>
      </c>
      <c r="C524" t="s">
        <v>563</v>
      </c>
      <c r="D524" t="s">
        <v>615</v>
      </c>
      <c r="E524" t="s">
        <v>637</v>
      </c>
      <c r="F524" t="s">
        <v>641</v>
      </c>
      <c r="G524">
        <v>1</v>
      </c>
      <c r="H524" s="1">
        <v>175</v>
      </c>
      <c r="I524" s="1">
        <v>105</v>
      </c>
      <c r="J524" s="2">
        <v>0</v>
      </c>
      <c r="K524" t="s">
        <v>643</v>
      </c>
      <c r="L524" t="s">
        <v>650</v>
      </c>
      <c r="M524" t="s">
        <v>656</v>
      </c>
    </row>
    <row r="525" spans="1:13" x14ac:dyDescent="0.3">
      <c r="A525" t="s">
        <v>529</v>
      </c>
      <c r="B525" s="4">
        <v>45924</v>
      </c>
      <c r="C525" t="s">
        <v>564</v>
      </c>
      <c r="D525" t="s">
        <v>604</v>
      </c>
      <c r="E525" t="s">
        <v>630</v>
      </c>
      <c r="F525" t="s">
        <v>640</v>
      </c>
      <c r="G525">
        <v>3</v>
      </c>
      <c r="H525" s="1">
        <v>78</v>
      </c>
      <c r="I525" s="1">
        <v>45</v>
      </c>
      <c r="J525" s="2">
        <v>0.1</v>
      </c>
      <c r="K525" t="s">
        <v>642</v>
      </c>
      <c r="L525" t="s">
        <v>648</v>
      </c>
      <c r="M525" t="s">
        <v>657</v>
      </c>
    </row>
    <row r="526" spans="1:13" x14ac:dyDescent="0.3">
      <c r="A526" t="s">
        <v>530</v>
      </c>
      <c r="B526" s="4">
        <v>45836</v>
      </c>
      <c r="C526" t="s">
        <v>569</v>
      </c>
      <c r="D526" t="s">
        <v>606</v>
      </c>
      <c r="E526" t="s">
        <v>637</v>
      </c>
      <c r="F526" t="s">
        <v>641</v>
      </c>
      <c r="G526">
        <v>1</v>
      </c>
      <c r="H526" s="1">
        <v>175</v>
      </c>
      <c r="I526" s="1">
        <v>105</v>
      </c>
      <c r="J526" s="2">
        <v>0.1</v>
      </c>
      <c r="K526" t="s">
        <v>646</v>
      </c>
      <c r="L526" t="s">
        <v>648</v>
      </c>
      <c r="M526" t="s">
        <v>662</v>
      </c>
    </row>
    <row r="527" spans="1:13" x14ac:dyDescent="0.3">
      <c r="A527" t="s">
        <v>531</v>
      </c>
      <c r="B527" s="4">
        <v>45770</v>
      </c>
      <c r="C527" t="s">
        <v>568</v>
      </c>
      <c r="D527" t="s">
        <v>603</v>
      </c>
      <c r="E527" t="s">
        <v>630</v>
      </c>
      <c r="F527" t="s">
        <v>640</v>
      </c>
      <c r="G527">
        <v>5</v>
      </c>
      <c r="H527" s="1">
        <v>78</v>
      </c>
      <c r="I527" s="1">
        <v>45</v>
      </c>
      <c r="J527" s="2">
        <v>0.15</v>
      </c>
      <c r="K527" t="s">
        <v>645</v>
      </c>
      <c r="L527" t="s">
        <v>648</v>
      </c>
      <c r="M527" t="s">
        <v>666</v>
      </c>
    </row>
    <row r="528" spans="1:13" x14ac:dyDescent="0.3">
      <c r="A528" t="s">
        <v>532</v>
      </c>
      <c r="B528" s="4">
        <v>45658</v>
      </c>
      <c r="C528" t="s">
        <v>575</v>
      </c>
      <c r="D528" t="s">
        <v>613</v>
      </c>
      <c r="E528" t="s">
        <v>634</v>
      </c>
      <c r="F528" t="s">
        <v>641</v>
      </c>
      <c r="G528">
        <v>4</v>
      </c>
      <c r="H528" s="1">
        <v>59</v>
      </c>
      <c r="I528" s="1">
        <v>30</v>
      </c>
      <c r="J528" s="2">
        <v>0</v>
      </c>
      <c r="K528" t="s">
        <v>645</v>
      </c>
      <c r="L528" t="s">
        <v>651</v>
      </c>
      <c r="M528" t="s">
        <v>668</v>
      </c>
    </row>
    <row r="529" spans="1:13" x14ac:dyDescent="0.3">
      <c r="A529" t="s">
        <v>533</v>
      </c>
      <c r="B529" s="4">
        <v>45696</v>
      </c>
      <c r="C529" t="s">
        <v>570</v>
      </c>
      <c r="D529" t="s">
        <v>609</v>
      </c>
      <c r="E529" t="s">
        <v>631</v>
      </c>
      <c r="F529" t="s">
        <v>641</v>
      </c>
      <c r="G529">
        <v>5</v>
      </c>
      <c r="H529" s="1">
        <v>85</v>
      </c>
      <c r="I529" s="1">
        <v>44</v>
      </c>
      <c r="J529" s="2">
        <v>0</v>
      </c>
      <c r="K529" t="s">
        <v>645</v>
      </c>
      <c r="L529" t="s">
        <v>648</v>
      </c>
      <c r="M529" t="s">
        <v>663</v>
      </c>
    </row>
    <row r="530" spans="1:13" x14ac:dyDescent="0.3">
      <c r="A530" t="s">
        <v>534</v>
      </c>
      <c r="B530" s="4">
        <v>45783</v>
      </c>
      <c r="C530" t="s">
        <v>582</v>
      </c>
      <c r="D530" t="s">
        <v>618</v>
      </c>
      <c r="E530" t="s">
        <v>632</v>
      </c>
      <c r="F530" t="s">
        <v>639</v>
      </c>
      <c r="G530">
        <v>4</v>
      </c>
      <c r="H530" s="1">
        <v>42</v>
      </c>
      <c r="I530" s="1">
        <v>21</v>
      </c>
      <c r="J530" s="2">
        <v>0.1</v>
      </c>
      <c r="K530" t="s">
        <v>645</v>
      </c>
      <c r="L530" t="s">
        <v>650</v>
      </c>
      <c r="M530" t="s">
        <v>658</v>
      </c>
    </row>
    <row r="531" spans="1:13" x14ac:dyDescent="0.3">
      <c r="A531" t="s">
        <v>535</v>
      </c>
      <c r="B531" s="4">
        <v>45942</v>
      </c>
      <c r="C531" t="s">
        <v>577</v>
      </c>
      <c r="D531" t="s">
        <v>620</v>
      </c>
      <c r="E531" t="s">
        <v>635</v>
      </c>
      <c r="F531" t="s">
        <v>639</v>
      </c>
      <c r="G531">
        <v>3</v>
      </c>
      <c r="H531" s="1">
        <v>65</v>
      </c>
      <c r="I531" s="1">
        <v>31</v>
      </c>
      <c r="J531" s="2">
        <v>0</v>
      </c>
      <c r="K531" t="s">
        <v>645</v>
      </c>
      <c r="L531" t="s">
        <v>648</v>
      </c>
      <c r="M531" t="s">
        <v>670</v>
      </c>
    </row>
    <row r="532" spans="1:13" x14ac:dyDescent="0.3">
      <c r="A532" t="s">
        <v>536</v>
      </c>
      <c r="B532" s="4">
        <v>45971</v>
      </c>
      <c r="C532" t="s">
        <v>570</v>
      </c>
      <c r="D532" t="s">
        <v>603</v>
      </c>
      <c r="E532" t="s">
        <v>637</v>
      </c>
      <c r="F532" t="s">
        <v>641</v>
      </c>
      <c r="G532">
        <v>2</v>
      </c>
      <c r="H532" s="1">
        <v>175</v>
      </c>
      <c r="I532" s="1">
        <v>105</v>
      </c>
      <c r="J532" s="2">
        <v>0.1</v>
      </c>
      <c r="K532" t="s">
        <v>644</v>
      </c>
      <c r="L532" t="s">
        <v>650</v>
      </c>
      <c r="M532" t="s">
        <v>663</v>
      </c>
    </row>
    <row r="533" spans="1:13" x14ac:dyDescent="0.3">
      <c r="A533" t="s">
        <v>537</v>
      </c>
      <c r="B533" s="4">
        <v>45925</v>
      </c>
      <c r="C533" t="s">
        <v>564</v>
      </c>
      <c r="D533" t="s">
        <v>617</v>
      </c>
      <c r="E533" t="s">
        <v>635</v>
      </c>
      <c r="F533" t="s">
        <v>639</v>
      </c>
      <c r="G533">
        <v>3</v>
      </c>
      <c r="H533" s="1">
        <v>65</v>
      </c>
      <c r="I533" s="1">
        <v>31</v>
      </c>
      <c r="J533" s="2">
        <v>0.05</v>
      </c>
      <c r="K533" t="s">
        <v>645</v>
      </c>
      <c r="L533" t="s">
        <v>648</v>
      </c>
      <c r="M533" t="s">
        <v>657</v>
      </c>
    </row>
    <row r="534" spans="1:13" x14ac:dyDescent="0.3">
      <c r="A534" t="s">
        <v>538</v>
      </c>
      <c r="B534" s="4">
        <v>45809</v>
      </c>
      <c r="C534" t="s">
        <v>578</v>
      </c>
      <c r="D534" t="s">
        <v>614</v>
      </c>
      <c r="E534" t="s">
        <v>636</v>
      </c>
      <c r="F534" t="s">
        <v>641</v>
      </c>
      <c r="G534">
        <v>5</v>
      </c>
      <c r="H534" s="1">
        <v>245</v>
      </c>
      <c r="I534" s="1">
        <v>150</v>
      </c>
      <c r="J534" s="2">
        <v>0</v>
      </c>
      <c r="K534" t="s">
        <v>647</v>
      </c>
      <c r="L534" t="s">
        <v>648</v>
      </c>
      <c r="M534" t="s">
        <v>671</v>
      </c>
    </row>
    <row r="535" spans="1:13" x14ac:dyDescent="0.3">
      <c r="A535" t="s">
        <v>539</v>
      </c>
      <c r="B535" s="4">
        <v>46022</v>
      </c>
      <c r="C535" t="s">
        <v>570</v>
      </c>
      <c r="D535" t="s">
        <v>624</v>
      </c>
      <c r="E535" t="s">
        <v>636</v>
      </c>
      <c r="F535" t="s">
        <v>641</v>
      </c>
      <c r="G535">
        <v>2</v>
      </c>
      <c r="H535" s="1">
        <v>245</v>
      </c>
      <c r="I535" s="1">
        <v>150</v>
      </c>
      <c r="J535" s="2">
        <v>0.1</v>
      </c>
      <c r="K535" t="s">
        <v>642</v>
      </c>
      <c r="L535" t="s">
        <v>652</v>
      </c>
      <c r="M535" t="s">
        <v>663</v>
      </c>
    </row>
    <row r="536" spans="1:13" x14ac:dyDescent="0.3">
      <c r="A536" t="s">
        <v>540</v>
      </c>
      <c r="B536" s="4">
        <v>45696</v>
      </c>
      <c r="C536" t="s">
        <v>575</v>
      </c>
      <c r="D536" t="s">
        <v>607</v>
      </c>
      <c r="E536" t="s">
        <v>631</v>
      </c>
      <c r="F536" t="s">
        <v>641</v>
      </c>
      <c r="G536">
        <v>2</v>
      </c>
      <c r="H536" s="1">
        <v>85</v>
      </c>
      <c r="I536" s="1">
        <v>44</v>
      </c>
      <c r="J536" s="2">
        <v>0</v>
      </c>
      <c r="K536" t="s">
        <v>644</v>
      </c>
      <c r="L536" t="s">
        <v>648</v>
      </c>
      <c r="M536" t="s">
        <v>668</v>
      </c>
    </row>
    <row r="537" spans="1:13" x14ac:dyDescent="0.3">
      <c r="A537" t="s">
        <v>541</v>
      </c>
      <c r="B537" s="4">
        <v>45830</v>
      </c>
      <c r="C537" t="s">
        <v>570</v>
      </c>
      <c r="D537" t="s">
        <v>623</v>
      </c>
      <c r="E537" t="s">
        <v>632</v>
      </c>
      <c r="F537" t="s">
        <v>639</v>
      </c>
      <c r="G537">
        <v>5</v>
      </c>
      <c r="H537" s="1">
        <v>42</v>
      </c>
      <c r="I537" s="1">
        <v>21</v>
      </c>
      <c r="J537" s="2">
        <v>0.05</v>
      </c>
      <c r="K537" t="s">
        <v>646</v>
      </c>
      <c r="L537" t="s">
        <v>650</v>
      </c>
      <c r="M537" t="s">
        <v>663</v>
      </c>
    </row>
    <row r="538" spans="1:13" x14ac:dyDescent="0.3">
      <c r="A538" t="s">
        <v>542</v>
      </c>
      <c r="B538" s="4">
        <v>45887</v>
      </c>
      <c r="C538" t="s">
        <v>567</v>
      </c>
      <c r="D538" t="s">
        <v>624</v>
      </c>
      <c r="E538" t="s">
        <v>633</v>
      </c>
      <c r="F538" t="s">
        <v>638</v>
      </c>
      <c r="G538">
        <v>2</v>
      </c>
      <c r="H538" s="1">
        <v>210</v>
      </c>
      <c r="I538" s="1">
        <v>125</v>
      </c>
      <c r="J538" s="2">
        <v>0.05</v>
      </c>
      <c r="K538" t="s">
        <v>644</v>
      </c>
      <c r="L538" t="s">
        <v>648</v>
      </c>
      <c r="M538" t="s">
        <v>660</v>
      </c>
    </row>
    <row r="539" spans="1:13" x14ac:dyDescent="0.3">
      <c r="A539" t="s">
        <v>543</v>
      </c>
      <c r="B539" s="4">
        <v>45941</v>
      </c>
      <c r="C539" t="s">
        <v>578</v>
      </c>
      <c r="D539" t="s">
        <v>600</v>
      </c>
      <c r="E539" t="s">
        <v>628</v>
      </c>
      <c r="F539" t="s">
        <v>639</v>
      </c>
      <c r="G539">
        <v>4</v>
      </c>
      <c r="H539" s="1">
        <v>18</v>
      </c>
      <c r="I539" s="1">
        <v>7</v>
      </c>
      <c r="J539" s="2">
        <v>0.2</v>
      </c>
      <c r="K539" t="s">
        <v>646</v>
      </c>
      <c r="L539" t="s">
        <v>649</v>
      </c>
      <c r="M539" t="s">
        <v>671</v>
      </c>
    </row>
    <row r="540" spans="1:13" x14ac:dyDescent="0.3">
      <c r="A540" t="s">
        <v>544</v>
      </c>
      <c r="B540" s="4">
        <v>45847</v>
      </c>
      <c r="C540" t="s">
        <v>564</v>
      </c>
      <c r="D540" t="s">
        <v>615</v>
      </c>
      <c r="E540" t="s">
        <v>631</v>
      </c>
      <c r="F540" t="s">
        <v>641</v>
      </c>
      <c r="G540">
        <v>2</v>
      </c>
      <c r="H540" s="1">
        <v>85</v>
      </c>
      <c r="I540" s="1">
        <v>44</v>
      </c>
      <c r="J540" s="2">
        <v>0.1</v>
      </c>
      <c r="K540" t="s">
        <v>647</v>
      </c>
      <c r="L540" t="s">
        <v>650</v>
      </c>
      <c r="M540" t="s">
        <v>657</v>
      </c>
    </row>
    <row r="541" spans="1:13" x14ac:dyDescent="0.3">
      <c r="A541" t="s">
        <v>545</v>
      </c>
      <c r="B541" s="4">
        <v>45775</v>
      </c>
      <c r="C541" t="s">
        <v>569</v>
      </c>
      <c r="D541" t="s">
        <v>610</v>
      </c>
      <c r="E541" t="s">
        <v>634</v>
      </c>
      <c r="F541" t="s">
        <v>641</v>
      </c>
      <c r="G541">
        <v>1</v>
      </c>
      <c r="H541" s="1">
        <v>59</v>
      </c>
      <c r="I541" s="1">
        <v>30</v>
      </c>
      <c r="J541" s="2">
        <v>0.15</v>
      </c>
      <c r="K541" t="s">
        <v>645</v>
      </c>
      <c r="L541" t="s">
        <v>649</v>
      </c>
      <c r="M541" t="s">
        <v>662</v>
      </c>
    </row>
    <row r="542" spans="1:13" x14ac:dyDescent="0.3">
      <c r="A542" t="s">
        <v>546</v>
      </c>
      <c r="B542" s="4">
        <v>45785</v>
      </c>
      <c r="C542" t="s">
        <v>583</v>
      </c>
      <c r="D542" t="s">
        <v>615</v>
      </c>
      <c r="E542" t="s">
        <v>630</v>
      </c>
      <c r="F542" t="s">
        <v>640</v>
      </c>
      <c r="G542">
        <v>3</v>
      </c>
      <c r="H542" s="1">
        <v>78</v>
      </c>
      <c r="I542" s="1">
        <v>45</v>
      </c>
      <c r="J542" s="2">
        <v>0</v>
      </c>
      <c r="K542" t="s">
        <v>647</v>
      </c>
      <c r="L542" t="s">
        <v>648</v>
      </c>
      <c r="M542" t="s">
        <v>673</v>
      </c>
    </row>
    <row r="543" spans="1:13" x14ac:dyDescent="0.3">
      <c r="A543" t="s">
        <v>547</v>
      </c>
      <c r="B543" s="4">
        <v>45862</v>
      </c>
      <c r="C543" t="s">
        <v>598</v>
      </c>
      <c r="D543" t="s">
        <v>617</v>
      </c>
      <c r="E543" t="s">
        <v>627</v>
      </c>
      <c r="F543" t="s">
        <v>639</v>
      </c>
      <c r="G543">
        <v>5</v>
      </c>
      <c r="H543" s="1">
        <v>38</v>
      </c>
      <c r="I543" s="1">
        <v>17</v>
      </c>
      <c r="J543" s="2">
        <v>0.15</v>
      </c>
      <c r="K543" t="s">
        <v>642</v>
      </c>
      <c r="L543" t="s">
        <v>648</v>
      </c>
      <c r="M543" t="s">
        <v>659</v>
      </c>
    </row>
    <row r="544" spans="1:13" x14ac:dyDescent="0.3">
      <c r="A544" t="s">
        <v>548</v>
      </c>
      <c r="B544" s="4">
        <v>45990</v>
      </c>
      <c r="C544" t="s">
        <v>578</v>
      </c>
      <c r="D544" t="s">
        <v>610</v>
      </c>
      <c r="E544" t="s">
        <v>637</v>
      </c>
      <c r="F544" t="s">
        <v>641</v>
      </c>
      <c r="G544">
        <v>4</v>
      </c>
      <c r="H544" s="1">
        <v>175</v>
      </c>
      <c r="I544" s="1">
        <v>105</v>
      </c>
      <c r="J544" s="2">
        <v>0</v>
      </c>
      <c r="K544" t="s">
        <v>647</v>
      </c>
      <c r="L544" t="s">
        <v>650</v>
      </c>
      <c r="M544" t="s">
        <v>671</v>
      </c>
    </row>
    <row r="545" spans="1:13" x14ac:dyDescent="0.3">
      <c r="A545" t="s">
        <v>549</v>
      </c>
      <c r="B545" s="4">
        <v>45986</v>
      </c>
      <c r="C545" t="s">
        <v>564</v>
      </c>
      <c r="D545" t="s">
        <v>605</v>
      </c>
      <c r="E545" t="s">
        <v>631</v>
      </c>
      <c r="F545" t="s">
        <v>641</v>
      </c>
      <c r="G545">
        <v>4</v>
      </c>
      <c r="H545" s="1">
        <v>85</v>
      </c>
      <c r="I545" s="1">
        <v>44</v>
      </c>
      <c r="J545" s="2">
        <v>0.15</v>
      </c>
      <c r="K545" t="s">
        <v>644</v>
      </c>
      <c r="L545" t="s">
        <v>648</v>
      </c>
      <c r="M545" t="s">
        <v>679</v>
      </c>
    </row>
    <row r="546" spans="1:13" x14ac:dyDescent="0.3">
      <c r="A546" t="s">
        <v>550</v>
      </c>
      <c r="B546" s="4">
        <v>45871</v>
      </c>
      <c r="C546" t="s">
        <v>572</v>
      </c>
      <c r="D546" t="s">
        <v>620</v>
      </c>
      <c r="E546" t="s">
        <v>628</v>
      </c>
      <c r="F546" t="s">
        <v>639</v>
      </c>
      <c r="G546">
        <v>5</v>
      </c>
      <c r="H546" s="1">
        <v>18</v>
      </c>
      <c r="I546" s="1">
        <v>7</v>
      </c>
      <c r="J546" s="2">
        <v>0</v>
      </c>
      <c r="L546" t="s">
        <v>650</v>
      </c>
      <c r="M546" t="s">
        <v>665</v>
      </c>
    </row>
    <row r="547" spans="1:13" x14ac:dyDescent="0.3">
      <c r="A547" t="s">
        <v>551</v>
      </c>
      <c r="B547" s="4">
        <v>45750</v>
      </c>
      <c r="C547" t="s">
        <v>571</v>
      </c>
      <c r="D547" t="s">
        <v>624</v>
      </c>
      <c r="E547" t="s">
        <v>633</v>
      </c>
      <c r="F547" t="s">
        <v>638</v>
      </c>
      <c r="G547">
        <v>2</v>
      </c>
      <c r="H547" s="1">
        <v>210</v>
      </c>
      <c r="I547" s="1">
        <v>125</v>
      </c>
      <c r="J547" s="2">
        <v>0</v>
      </c>
      <c r="K547" t="s">
        <v>647</v>
      </c>
      <c r="L547" t="s">
        <v>648</v>
      </c>
      <c r="M547" t="s">
        <v>664</v>
      </c>
    </row>
    <row r="548" spans="1:13" x14ac:dyDescent="0.3">
      <c r="A548" t="s">
        <v>552</v>
      </c>
      <c r="B548" s="4">
        <v>45662</v>
      </c>
      <c r="C548" t="s">
        <v>566</v>
      </c>
      <c r="D548" t="s">
        <v>609</v>
      </c>
      <c r="E548" t="s">
        <v>634</v>
      </c>
      <c r="F548" t="s">
        <v>641</v>
      </c>
      <c r="G548">
        <v>1</v>
      </c>
      <c r="H548" s="1">
        <v>59</v>
      </c>
      <c r="I548" s="1">
        <v>30</v>
      </c>
      <c r="J548" s="2">
        <v>0.05</v>
      </c>
      <c r="K548" t="s">
        <v>642</v>
      </c>
      <c r="L548" t="s">
        <v>648</v>
      </c>
    </row>
    <row r="549" spans="1:13" x14ac:dyDescent="0.3">
      <c r="A549" t="s">
        <v>263</v>
      </c>
      <c r="B549" s="4">
        <v>45745</v>
      </c>
      <c r="C549" t="s">
        <v>571</v>
      </c>
      <c r="D549" t="s">
        <v>613</v>
      </c>
      <c r="E549" t="s">
        <v>634</v>
      </c>
      <c r="F549" t="s">
        <v>641</v>
      </c>
      <c r="G549">
        <v>4</v>
      </c>
      <c r="H549" s="1">
        <v>59</v>
      </c>
      <c r="I549" s="1">
        <v>30</v>
      </c>
      <c r="J549" s="2">
        <v>0.1</v>
      </c>
      <c r="K549" t="s">
        <v>643</v>
      </c>
      <c r="L549" t="s">
        <v>651</v>
      </c>
      <c r="M549" t="s">
        <v>664</v>
      </c>
    </row>
    <row r="550" spans="1:13" x14ac:dyDescent="0.3">
      <c r="A550" t="s">
        <v>553</v>
      </c>
      <c r="B550" s="4">
        <v>45948</v>
      </c>
      <c r="C550" t="s">
        <v>582</v>
      </c>
      <c r="D550" t="s">
        <v>609</v>
      </c>
      <c r="E550" t="s">
        <v>637</v>
      </c>
      <c r="F550" t="s">
        <v>641</v>
      </c>
      <c r="G550">
        <v>5</v>
      </c>
      <c r="H550" s="1">
        <v>175</v>
      </c>
      <c r="I550" s="1">
        <v>105</v>
      </c>
      <c r="J550" s="2">
        <v>0.05</v>
      </c>
      <c r="K550" t="s">
        <v>642</v>
      </c>
      <c r="L550" t="s">
        <v>651</v>
      </c>
      <c r="M550" t="s">
        <v>658</v>
      </c>
    </row>
    <row r="551" spans="1:13" x14ac:dyDescent="0.3">
      <c r="A551" t="s">
        <v>554</v>
      </c>
      <c r="B551" s="4">
        <v>45701</v>
      </c>
      <c r="C551" t="s">
        <v>581</v>
      </c>
      <c r="D551" t="s">
        <v>600</v>
      </c>
      <c r="E551" t="s">
        <v>635</v>
      </c>
      <c r="F551" t="s">
        <v>639</v>
      </c>
      <c r="G551">
        <v>1</v>
      </c>
      <c r="H551" s="1">
        <v>65</v>
      </c>
      <c r="I551" s="1">
        <v>31</v>
      </c>
      <c r="J551" s="2">
        <v>0.15</v>
      </c>
      <c r="K551" t="s">
        <v>645</v>
      </c>
      <c r="L551" t="s">
        <v>648</v>
      </c>
      <c r="M551" t="s">
        <v>663</v>
      </c>
    </row>
    <row r="552" spans="1:13" x14ac:dyDescent="0.3">
      <c r="A552" t="s">
        <v>555</v>
      </c>
      <c r="B552" s="4">
        <v>45804</v>
      </c>
      <c r="C552" t="s">
        <v>563</v>
      </c>
      <c r="D552" t="s">
        <v>608</v>
      </c>
      <c r="E552" t="s">
        <v>634</v>
      </c>
      <c r="F552" t="s">
        <v>641</v>
      </c>
      <c r="G552">
        <v>5</v>
      </c>
      <c r="H552" s="1">
        <v>59</v>
      </c>
      <c r="I552" s="1">
        <v>30</v>
      </c>
      <c r="J552" s="2">
        <v>0.2</v>
      </c>
      <c r="K552" t="s">
        <v>647</v>
      </c>
      <c r="L552" t="s">
        <v>651</v>
      </c>
      <c r="M552" t="s">
        <v>656</v>
      </c>
    </row>
    <row r="553" spans="1:13" x14ac:dyDescent="0.3">
      <c r="A553" t="s">
        <v>556</v>
      </c>
      <c r="B553" s="4">
        <v>45698</v>
      </c>
      <c r="C553" t="s">
        <v>573</v>
      </c>
      <c r="D553" t="s">
        <v>608</v>
      </c>
      <c r="E553" t="s">
        <v>626</v>
      </c>
      <c r="F553" t="s">
        <v>638</v>
      </c>
      <c r="G553">
        <v>2</v>
      </c>
      <c r="H553" s="1">
        <v>36</v>
      </c>
      <c r="I553" s="1">
        <v>16</v>
      </c>
      <c r="J553" s="2">
        <v>0</v>
      </c>
      <c r="K553" t="s">
        <v>644</v>
      </c>
      <c r="L553" t="s">
        <v>648</v>
      </c>
      <c r="M553" t="s">
        <v>667</v>
      </c>
    </row>
    <row r="554" spans="1:13" x14ac:dyDescent="0.3">
      <c r="A554" t="s">
        <v>557</v>
      </c>
      <c r="B554" s="4">
        <v>45705</v>
      </c>
      <c r="C554" t="s">
        <v>592</v>
      </c>
      <c r="D554" t="s">
        <v>621</v>
      </c>
      <c r="E554" t="s">
        <v>632</v>
      </c>
      <c r="F554" t="s">
        <v>639</v>
      </c>
      <c r="G554">
        <v>5</v>
      </c>
      <c r="H554" s="1">
        <v>42</v>
      </c>
      <c r="I554" s="1">
        <v>21</v>
      </c>
      <c r="J554" s="2">
        <v>0.05</v>
      </c>
      <c r="K554" t="s">
        <v>642</v>
      </c>
      <c r="L554" t="s">
        <v>648</v>
      </c>
      <c r="M554" t="s">
        <v>657</v>
      </c>
    </row>
    <row r="555" spans="1:13" x14ac:dyDescent="0.3">
      <c r="A555" t="s">
        <v>558</v>
      </c>
      <c r="B555" s="4">
        <v>45758</v>
      </c>
      <c r="C555" t="s">
        <v>571</v>
      </c>
      <c r="D555" t="s">
        <v>612</v>
      </c>
      <c r="E555" t="s">
        <v>627</v>
      </c>
      <c r="F555" t="s">
        <v>639</v>
      </c>
      <c r="G555">
        <v>3</v>
      </c>
      <c r="H555" s="1">
        <v>38</v>
      </c>
      <c r="I555" s="1">
        <v>17</v>
      </c>
      <c r="J555" s="2">
        <v>0.1</v>
      </c>
      <c r="K555" t="s">
        <v>644</v>
      </c>
      <c r="L555" t="s">
        <v>651</v>
      </c>
      <c r="M555" t="s">
        <v>664</v>
      </c>
    </row>
    <row r="556" spans="1:13" x14ac:dyDescent="0.3">
      <c r="A556" t="s">
        <v>559</v>
      </c>
      <c r="B556" s="4">
        <v>45768</v>
      </c>
      <c r="C556" t="s">
        <v>568</v>
      </c>
      <c r="D556" t="s">
        <v>622</v>
      </c>
      <c r="E556" t="s">
        <v>635</v>
      </c>
      <c r="F556" t="s">
        <v>639</v>
      </c>
      <c r="G556">
        <v>5</v>
      </c>
      <c r="H556" s="1">
        <v>65</v>
      </c>
      <c r="I556" s="1">
        <v>31</v>
      </c>
      <c r="J556" s="2">
        <v>0</v>
      </c>
      <c r="K556" t="s">
        <v>645</v>
      </c>
      <c r="L556" t="s">
        <v>648</v>
      </c>
      <c r="M556" t="s">
        <v>666</v>
      </c>
    </row>
    <row r="557" spans="1:13" x14ac:dyDescent="0.3">
      <c r="A557" t="s">
        <v>560</v>
      </c>
      <c r="B557" s="4">
        <v>45836</v>
      </c>
      <c r="C557" t="s">
        <v>563</v>
      </c>
      <c r="D557" t="s">
        <v>599</v>
      </c>
      <c r="E557" t="s">
        <v>632</v>
      </c>
      <c r="F557" t="s">
        <v>639</v>
      </c>
      <c r="G557">
        <v>5</v>
      </c>
      <c r="H557" s="1">
        <v>42</v>
      </c>
      <c r="I557" s="1">
        <v>21</v>
      </c>
      <c r="J557" s="2">
        <v>0.15</v>
      </c>
      <c r="K557" t="s">
        <v>646</v>
      </c>
      <c r="L557" t="s">
        <v>649</v>
      </c>
      <c r="M557" t="s">
        <v>656</v>
      </c>
    </row>
    <row r="558" spans="1:13" x14ac:dyDescent="0.3">
      <c r="A558" t="s">
        <v>561</v>
      </c>
      <c r="B558" s="4">
        <v>45803</v>
      </c>
      <c r="C558" t="s">
        <v>583</v>
      </c>
      <c r="D558" t="s">
        <v>619</v>
      </c>
      <c r="E558" t="s">
        <v>635</v>
      </c>
      <c r="F558" t="s">
        <v>639</v>
      </c>
      <c r="G558">
        <v>3</v>
      </c>
      <c r="H558" s="1">
        <v>65</v>
      </c>
      <c r="I558" s="1">
        <v>31</v>
      </c>
      <c r="J558" s="2">
        <v>0.15</v>
      </c>
      <c r="K558" t="s">
        <v>646</v>
      </c>
      <c r="L558" t="s">
        <v>648</v>
      </c>
      <c r="M558" t="s">
        <v>673</v>
      </c>
    </row>
    <row r="559" spans="1:13" x14ac:dyDescent="0.3">
      <c r="A559" t="s">
        <v>562</v>
      </c>
      <c r="B559" s="4">
        <v>45802</v>
      </c>
      <c r="C559" t="s">
        <v>569</v>
      </c>
      <c r="D559" t="s">
        <v>602</v>
      </c>
      <c r="E559" t="s">
        <v>636</v>
      </c>
      <c r="F559" t="s">
        <v>641</v>
      </c>
      <c r="G559">
        <v>5</v>
      </c>
      <c r="H559" s="1">
        <v>245</v>
      </c>
      <c r="I559" s="1">
        <v>150</v>
      </c>
      <c r="J559" s="2">
        <v>0.2</v>
      </c>
      <c r="K559" t="s">
        <v>646</v>
      </c>
      <c r="L559" t="s">
        <v>648</v>
      </c>
      <c r="M559" t="s">
        <v>662</v>
      </c>
    </row>
  </sheetData>
  <autoFilter ref="A1:M55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Dashboard</vt:lpstr>
      <vt:lpstr>Project_Brief</vt:lpstr>
      <vt:lpstr>Pivot_Product</vt:lpstr>
      <vt:lpstr>Pivot_Country</vt:lpstr>
      <vt:lpstr>Pivot _Category</vt:lpstr>
      <vt:lpstr>Pivot_Monthly</vt:lpstr>
      <vt:lpstr>Clean_Data</vt:lpstr>
      <vt:lpstr>KPI_Summary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Friend</dc:creator>
  <cp:lastModifiedBy>Mr Friend</cp:lastModifiedBy>
  <cp:lastPrinted>2026-08-25T20:44:29Z</cp:lastPrinted>
  <dcterms:created xsi:type="dcterms:W3CDTF">2026-08-10T13:52:47Z</dcterms:created>
  <dcterms:modified xsi:type="dcterms:W3CDTF">2026-08-25T20:45:13Z</dcterms:modified>
</cp:coreProperties>
</file>